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cuments\Economy\economia_c\data\processed\"/>
    </mc:Choice>
  </mc:AlternateContent>
  <xr:revisionPtr revIDLastSave="0" documentId="13_ncr:1_{887FEDF0-F712-4EF1-9C21-51AA63358524}" xr6:coauthVersionLast="47" xr6:coauthVersionMax="47" xr10:uidLastSave="{00000000-0000-0000-0000-000000000000}"/>
  <bookViews>
    <workbookView xWindow="10644" yWindow="1584" windowWidth="14052" windowHeight="9036" xr2:uid="{00000000-000D-0000-FFFF-FFFF00000000}"/>
  </bookViews>
  <sheets>
    <sheet name="Empleo EC 2025" sheetId="1" r:id="rId1"/>
    <sheet name="Metodología" sheetId="2" r:id="rId2"/>
    <sheet name="Serie 2019-2025" sheetId="3" r:id="rId3"/>
    <sheet name="Grafic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<sst xmlns="http://schemas.openxmlformats.org/spreadsheetml/2006/main" count="119" uniqueCount="99">
  <si>
    <t>CIIU</t>
  </si>
  <si>
    <t>Rama de actividad</t>
  </si>
  <si>
    <t>Tipo</t>
  </si>
  <si>
    <t>1° Trim 2025</t>
  </si>
  <si>
    <t>2° Trim 2025</t>
  </si>
  <si>
    <t>3° Trim 2025</t>
  </si>
  <si>
    <t>4° Trim 2025</t>
  </si>
  <si>
    <t>Promedio 2025</t>
  </si>
  <si>
    <t>Trimestres con dato</t>
  </si>
  <si>
    <t>Fuente</t>
  </si>
  <si>
    <t>Consultores en equipo de informática</t>
  </si>
  <si>
    <t>Núcleo</t>
  </si>
  <si>
    <t>SIPA-OEDE</t>
  </si>
  <si>
    <t>Consultores en informática y suministro de programas</t>
  </si>
  <si>
    <t>Mantenimiento y reparación de maq. oficina/informática</t>
  </si>
  <si>
    <t>Actividades de informática n.c.p.</t>
  </si>
  <si>
    <t>Investigación y desarrollo experimental</t>
  </si>
  <si>
    <t>Núcleo amplio</t>
  </si>
  <si>
    <t>Arquitectura e ingeniería (proxy)</t>
  </si>
  <si>
    <t>Proxy</t>
  </si>
  <si>
    <t>Servicios empresariales n.c.p. (proxy)</t>
  </si>
  <si>
    <t>TOTAL EC (8 CIIU)</t>
  </si>
  <si>
    <t>Concepto</t>
  </si>
  <si>
    <t>Detalle</t>
  </si>
  <si>
    <t>Fuente de datos</t>
  </si>
  <si>
    <t>SIPA-OEDE (STEySS)</t>
  </si>
  <si>
    <t>Archivo</t>
  </si>
  <si>
    <t>provinciales_serie_empleo_trimestral_4dig_7.xlsx</t>
  </si>
  <si>
    <t>Hoja</t>
  </si>
  <si>
    <t>La Rioja</t>
  </si>
  <si>
    <t>Qué contiene</t>
  </si>
  <si>
    <t>Empleo asalariado registrado del sector privado por rama a 4 dígitos del CIIU rev. 3</t>
  </si>
  <si>
    <t>Cobertura temporal</t>
  </si>
  <si>
    <t>1° Trim 1996 – 4° Trim 2025</t>
  </si>
  <si>
    <t>Unidad</t>
  </si>
  <si>
    <t>Puestos de trabajo (stock al cierre del trimestre)</t>
  </si>
  <si>
    <t>CÓMO SE CALCULÓ EL 521</t>
  </si>
  <si>
    <t>Para cada CIIU se tomaron los 4 trimestres de 2025</t>
  </si>
  <si>
    <t>Se calculó el promedio simple de los trimestres con dato disponible</t>
  </si>
  <si>
    <t>Se sumaron los 8 promedios para obtener el total EC 2025</t>
  </si>
  <si>
    <t>DEFINICIÓN APLICADA</t>
  </si>
  <si>
    <t>Base normativa</t>
  </si>
  <si>
    <t>Ley 27.506 de Economía del Conocimiento (2019) y su modificatoria 27.570 (2020)</t>
  </si>
  <si>
    <t>Traducción a CIIU</t>
  </si>
  <si>
    <t>Consultores en equipo de informática (sin datos en La Rioja 2025)</t>
  </si>
  <si>
    <t>Mantenimiento y reparación de maquinaria de oficina e informática</t>
  </si>
  <si>
    <t>Investigación y desarrollo experimental (sin datos en La Rioja 2025)</t>
  </si>
  <si>
    <t>Arquitectura e ingeniería (proxy - incluye geología y prospección)</t>
  </si>
  <si>
    <t>Servicios empresariales n.c.p. (proxy - incluye traducción, cobranzas, diseño)</t>
  </si>
  <si>
    <t>TIPOS DE CÓDIGOS</t>
  </si>
  <si>
    <t>Núcleo software (3)</t>
  </si>
  <si>
    <t>CIIU 7220 + 7250 + 7290</t>
  </si>
  <si>
    <t>Núcleo amplio (5)</t>
  </si>
  <si>
    <t>Núcleo software + 7300 + 7430</t>
  </si>
  <si>
    <t>Proxies (2)</t>
  </si>
  <si>
    <t>CIIU 7421 + 7499 (agrupan más actividades que la EC estricta)</t>
  </si>
  <si>
    <t>RESULTADO 2025</t>
  </si>
  <si>
    <t>Núcleo software</t>
  </si>
  <si>
    <t>63.8 puestos (12.2%)</t>
  </si>
  <si>
    <t>0.0 puestos (0,0% - sin datos)</t>
  </si>
  <si>
    <t>Proxies</t>
  </si>
  <si>
    <t>457.6 puestos (87.8%)</t>
  </si>
  <si>
    <t>TOTAL EC</t>
  </si>
  <si>
    <t>521.4 puestos</t>
  </si>
  <si>
    <t>ADVERTENCIA METODOLÓGICA</t>
  </si>
  <si>
    <t>Sobre los proxies</t>
  </si>
  <si>
    <t>CIIU 7421 y 7499 agrupan actividades que NO son EC en sentido estricto</t>
  </si>
  <si>
    <t>Impacto</t>
  </si>
  <si>
    <t>El conteo de 521 puestos es un techo superior, no un número exacto</t>
  </si>
  <si>
    <t>Núcleo real</t>
  </si>
  <si>
    <t>El núcleo software real es de 63.8 puestos</t>
  </si>
  <si>
    <t>Participación real</t>
  </si>
  <si>
    <t>1,93% del empleo provincial es EC completo; 0,24% es núcleo software</t>
  </si>
  <si>
    <t>Año</t>
  </si>
  <si>
    <t>Núcleo software (7220+7250+7290)</t>
  </si>
  <si>
    <t>Proxies (7421+7499)</t>
  </si>
  <si>
    <t>EC completo (8 CIIU)</t>
  </si>
  <si>
    <t>Núcleo SW %</t>
  </si>
  <si>
    <t>Los códigos ARCA se mapean a los 8 códigos CIIU rev.3</t>
  </si>
  <si>
    <t>Serv. de consultores en informática y suministros en programas de informática</t>
  </si>
  <si>
    <t>Serv. de consultores en tecnologia de la información</t>
  </si>
  <si>
    <t>Servicios de informática n.c.p</t>
  </si>
  <si>
    <t>Servicios geológicos y de prospección</t>
  </si>
  <si>
    <t>Investigación y desarrollo experimental en el campo de la ingeniería y la tecnología</t>
  </si>
  <si>
    <t>Investigación y desarrollo experimental en el campo de las ciencias médicas</t>
  </si>
  <si>
    <t>Investigación y desarrollo experimental en el campo de las ciencias agropecuarias</t>
  </si>
  <si>
    <t>Investigación y desarrollo experimental en el campo de las ciencias exactas y naturales n.c.p</t>
  </si>
  <si>
    <t>Servicios de publicidad n.c.p</t>
  </si>
  <si>
    <t>Servicios de diseño especializado</t>
  </si>
  <si>
    <t>Servicios de traducción e interpretación</t>
  </si>
  <si>
    <t>Reparación y mantenimiento de equipos informáticos</t>
  </si>
  <si>
    <t>CODIGOS ARCA</t>
  </si>
  <si>
    <t>CODIGO CIIU REV 3</t>
  </si>
  <si>
    <t>Servicios de publicidad</t>
  </si>
  <si>
    <t>Empleo EC completo 2025 = 521</t>
  </si>
  <si>
    <t>Empleo provincial 2025 = 27.047</t>
  </si>
  <si>
    <t>Núcleo software 2025 = 63,8</t>
  </si>
  <si>
    <t xml:space="preserve">521 / 27.047 = 1,93% </t>
  </si>
  <si>
    <t>63,8 / 27.047 = 0,236%  = 0,24%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</si>
</sst>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4ECDC4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4ECD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44680533683289586"/>
          <c:y val="0.18560185185185185"/>
          <c:w val="0.47308355205599301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'Empleo EC 2025'!$B$2:$B$9</c:f>
              <c:strCache>
                <c:ptCount val="8"/>
                <c:pt idx="0">
                  <c:v>Servicios empresariales n.c.p. (proxy)</c:v>
                </c:pt>
                <c:pt idx="1">
                  <c:v>Arquitectura e ingeniería (proxy)</c:v>
                </c:pt>
                <c:pt idx="2">
                  <c:v>Actividades de informática n.c.p.</c:v>
                </c:pt>
                <c:pt idx="3">
                  <c:v>Consultores en informática y suministro de programas</c:v>
                </c:pt>
                <c:pt idx="4">
                  <c:v>Mantenimiento y reparación de maq. oficina/informática</c:v>
                </c:pt>
                <c:pt idx="5">
                  <c:v>Servicios de publicidad</c:v>
                </c:pt>
                <c:pt idx="6">
                  <c:v>Investigación y desarrollo experimental</c:v>
                </c:pt>
                <c:pt idx="7">
                  <c:v>Consultores en equipo de informática</c:v>
                </c:pt>
              </c:strCache>
            </c:strRef>
          </c:cat>
          <c:val>
            <c:numRef>
              <c:f>'Empleo EC 2025'!$H$2:$H$9</c:f>
              <c:numCache>
                <c:formatCode>General</c:formatCode>
                <c:ptCount val="8"/>
                <c:pt idx="0">
                  <c:v>254.8</c:v>
                </c:pt>
                <c:pt idx="1">
                  <c:v>202.8</c:v>
                </c:pt>
                <c:pt idx="2">
                  <c:v>32.799999999999997</c:v>
                </c:pt>
                <c:pt idx="3">
                  <c:v>26.8</c:v>
                </c:pt>
                <c:pt idx="4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4284-B282-6CD3738705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3364687"/>
        <c:axId val="573367087"/>
      </c:barChart>
      <c:catAx>
        <c:axId val="57336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3367087"/>
        <c:crosses val="autoZero"/>
        <c:auto val="1"/>
        <c:lblAlgn val="ctr"/>
        <c:lblOffset val="100"/>
        <c:noMultiLvlLbl val="0"/>
      </c:catAx>
      <c:valAx>
        <c:axId val="57336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336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2019-2025'!$B$1:$C$1</c:f>
              <c:strCache>
                <c:ptCount val="2"/>
                <c:pt idx="0">
                  <c:v>Núcleo software (7220+7250+7290)</c:v>
                </c:pt>
                <c:pt idx="1">
                  <c:v>Proxies (7421+7499)</c:v>
                </c:pt>
              </c:strCache>
            </c:strRef>
          </c:cat>
          <c:val>
            <c:numRef>
              <c:f>'Serie 2019-2025'!$B$8:$C$8</c:f>
              <c:numCache>
                <c:formatCode>General</c:formatCode>
                <c:ptCount val="2"/>
                <c:pt idx="0">
                  <c:v>63.8</c:v>
                </c:pt>
                <c:pt idx="1">
                  <c:v>457.5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2-4273-BFFA-2B76520149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5597871"/>
        <c:axId val="775591151"/>
      </c:barChart>
      <c:catAx>
        <c:axId val="77559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5591151"/>
        <c:crosses val="autoZero"/>
        <c:auto val="1"/>
        <c:lblAlgn val="ctr"/>
        <c:lblOffset val="100"/>
        <c:noMultiLvlLbl val="0"/>
      </c:catAx>
      <c:valAx>
        <c:axId val="77559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559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4</xdr:row>
      <xdr:rowOff>167640</xdr:rowOff>
    </xdr:from>
    <xdr:to>
      <xdr:col>7</xdr:col>
      <xdr:colOff>381000</xdr:colOff>
      <xdr:row>19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258E-F8A5-4F80-65E7-874DE16ED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723900</xdr:colOff>
      <xdr:row>5</xdr:row>
      <xdr:rowOff>152400</xdr:rowOff>
    </xdr:from>
    <xdr:to>
      <xdr:col>13</xdr:col>
      <xdr:colOff>541020</xdr:colOff>
      <xdr:row>20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FDCEDD-AB68-D85C-2E7D-07D482B01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1" max="1" width="8" customWidth="1"/>
    <col min="2" max="2" width="50" customWidth="1"/>
    <col min="3" max="3" width="15" customWidth="1"/>
    <col min="4" max="7" width="14" customWidth="1"/>
    <col min="8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7499</v>
      </c>
      <c r="B2" t="s">
        <v>20</v>
      </c>
      <c r="C2" t="s">
        <v>19</v>
      </c>
      <c r="D2">
        <v>282</v>
      </c>
      <c r="E2">
        <v>235</v>
      </c>
      <c r="F2">
        <v>204</v>
      </c>
      <c r="G2">
        <v>298</v>
      </c>
      <c r="H2">
        <v>254.8</v>
      </c>
      <c r="I2">
        <v>4</v>
      </c>
      <c r="J2" t="s">
        <v>12</v>
      </c>
    </row>
    <row r="3" spans="1:10" x14ac:dyDescent="0.3">
      <c r="A3">
        <v>7421</v>
      </c>
      <c r="B3" t="s">
        <v>18</v>
      </c>
      <c r="C3" t="s">
        <v>19</v>
      </c>
      <c r="D3">
        <v>172</v>
      </c>
      <c r="E3">
        <v>225</v>
      </c>
      <c r="F3">
        <v>217</v>
      </c>
      <c r="G3">
        <v>197</v>
      </c>
      <c r="H3">
        <v>202.8</v>
      </c>
      <c r="I3">
        <v>0</v>
      </c>
      <c r="J3" t="s">
        <v>12</v>
      </c>
    </row>
    <row r="4" spans="1:10" x14ac:dyDescent="0.3">
      <c r="A4">
        <v>7290</v>
      </c>
      <c r="B4" t="s">
        <v>15</v>
      </c>
      <c r="C4" t="s">
        <v>11</v>
      </c>
      <c r="D4">
        <v>29</v>
      </c>
      <c r="E4">
        <v>32</v>
      </c>
      <c r="F4">
        <v>36</v>
      </c>
      <c r="G4">
        <v>34</v>
      </c>
      <c r="H4">
        <v>32.799999999999997</v>
      </c>
      <c r="I4">
        <v>4</v>
      </c>
      <c r="J4" t="s">
        <v>12</v>
      </c>
    </row>
    <row r="5" spans="1:10" x14ac:dyDescent="0.3">
      <c r="A5">
        <v>7220</v>
      </c>
      <c r="B5" t="s">
        <v>13</v>
      </c>
      <c r="C5" t="s">
        <v>11</v>
      </c>
      <c r="D5">
        <v>27</v>
      </c>
      <c r="E5">
        <v>27</v>
      </c>
      <c r="F5">
        <v>28</v>
      </c>
      <c r="G5">
        <v>25</v>
      </c>
      <c r="H5">
        <v>26.8</v>
      </c>
      <c r="I5">
        <v>0</v>
      </c>
      <c r="J5" t="s">
        <v>12</v>
      </c>
    </row>
    <row r="6" spans="1:10" x14ac:dyDescent="0.3">
      <c r="A6">
        <v>7250</v>
      </c>
      <c r="B6" t="s">
        <v>14</v>
      </c>
      <c r="C6" t="s">
        <v>11</v>
      </c>
      <c r="D6">
        <v>6</v>
      </c>
      <c r="E6">
        <v>6</v>
      </c>
      <c r="F6">
        <v>4</v>
      </c>
      <c r="G6">
        <v>1</v>
      </c>
      <c r="H6">
        <v>4.2</v>
      </c>
      <c r="I6">
        <v>4</v>
      </c>
      <c r="J6" t="s">
        <v>12</v>
      </c>
    </row>
    <row r="7" spans="1:10" x14ac:dyDescent="0.3">
      <c r="A7">
        <v>7430</v>
      </c>
      <c r="B7" t="s">
        <v>93</v>
      </c>
      <c r="C7" t="s">
        <v>11</v>
      </c>
      <c r="I7">
        <v>4</v>
      </c>
      <c r="J7" t="s">
        <v>12</v>
      </c>
    </row>
    <row r="8" spans="1:10" x14ac:dyDescent="0.3">
      <c r="A8">
        <v>7300</v>
      </c>
      <c r="B8" t="s">
        <v>16</v>
      </c>
      <c r="C8" t="s">
        <v>11</v>
      </c>
      <c r="I8">
        <v>4</v>
      </c>
      <c r="J8" t="s">
        <v>12</v>
      </c>
    </row>
    <row r="9" spans="1:10" x14ac:dyDescent="0.3">
      <c r="A9">
        <v>7210</v>
      </c>
      <c r="B9" t="s">
        <v>10</v>
      </c>
      <c r="C9" t="s">
        <v>11</v>
      </c>
      <c r="I9">
        <v>0</v>
      </c>
      <c r="J9" t="s">
        <v>12</v>
      </c>
    </row>
    <row r="10" spans="1:10" x14ac:dyDescent="0.3">
      <c r="A10" s="2"/>
      <c r="B10" s="2" t="s">
        <v>21</v>
      </c>
      <c r="C10" s="2"/>
      <c r="D10" s="2">
        <v>516</v>
      </c>
      <c r="E10" s="2">
        <v>525</v>
      </c>
      <c r="F10" s="2">
        <v>489</v>
      </c>
      <c r="G10" s="2">
        <v>555</v>
      </c>
      <c r="H10" s="2">
        <v>521.4</v>
      </c>
      <c r="I10" s="2"/>
      <c r="J10" s="2"/>
    </row>
  </sheetData>
  <sortState xmlns:xlrd2="http://schemas.microsoft.com/office/spreadsheetml/2017/richdata2" ref="B2:H9">
    <sortCondition descending="1" ref="H2:H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opLeftCell="A37" zoomScale="90" workbookViewId="0">
      <selection activeCell="B52" sqref="B52"/>
    </sheetView>
  </sheetViews>
  <sheetFormatPr baseColWidth="10" defaultColWidth="8.88671875" defaultRowHeight="14.4" x14ac:dyDescent="0.3"/>
  <cols>
    <col min="1" max="1" width="30" customWidth="1"/>
    <col min="2" max="2" width="80" customWidth="1"/>
  </cols>
  <sheetData>
    <row r="1" spans="1:2" x14ac:dyDescent="0.3">
      <c r="A1" s="3" t="s">
        <v>22</v>
      </c>
      <c r="B1" s="3" t="s">
        <v>23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  <row r="9" spans="1:2" x14ac:dyDescent="0.3">
      <c r="A9" s="4" t="s">
        <v>36</v>
      </c>
    </row>
    <row r="11" spans="1:2" x14ac:dyDescent="0.3">
      <c r="B11" t="s">
        <v>37</v>
      </c>
    </row>
    <row r="12" spans="1:2" x14ac:dyDescent="0.3">
      <c r="B12" t="s">
        <v>38</v>
      </c>
    </row>
    <row r="13" spans="1:2" x14ac:dyDescent="0.3">
      <c r="B13" t="s">
        <v>39</v>
      </c>
    </row>
    <row r="15" spans="1:2" x14ac:dyDescent="0.3">
      <c r="A15" s="4" t="s">
        <v>40</v>
      </c>
    </row>
    <row r="16" spans="1:2" x14ac:dyDescent="0.3">
      <c r="A16" t="s">
        <v>41</v>
      </c>
      <c r="B16" t="s">
        <v>42</v>
      </c>
    </row>
    <row r="17" spans="1:4" x14ac:dyDescent="0.3">
      <c r="A17" t="s">
        <v>43</v>
      </c>
      <c r="B17" t="s">
        <v>78</v>
      </c>
    </row>
    <row r="19" spans="1:4" x14ac:dyDescent="0.3">
      <c r="A19" s="4" t="s">
        <v>91</v>
      </c>
      <c r="C19" s="4" t="s">
        <v>92</v>
      </c>
    </row>
    <row r="20" spans="1:4" x14ac:dyDescent="0.3">
      <c r="A20">
        <v>620104</v>
      </c>
      <c r="B20" s="5" t="s">
        <v>79</v>
      </c>
      <c r="C20">
        <v>7220</v>
      </c>
      <c r="D20" t="s">
        <v>13</v>
      </c>
    </row>
    <row r="21" spans="1:4" x14ac:dyDescent="0.3">
      <c r="A21">
        <v>620300</v>
      </c>
      <c r="B21" t="s">
        <v>80</v>
      </c>
      <c r="C21">
        <v>7210</v>
      </c>
      <c r="D21" t="s">
        <v>44</v>
      </c>
    </row>
    <row r="22" spans="1:4" x14ac:dyDescent="0.3">
      <c r="A22">
        <v>620900</v>
      </c>
      <c r="B22" s="5" t="s">
        <v>81</v>
      </c>
      <c r="C22">
        <v>7290</v>
      </c>
      <c r="D22" t="s">
        <v>15</v>
      </c>
    </row>
    <row r="23" spans="1:4" x14ac:dyDescent="0.3">
      <c r="A23">
        <v>711002</v>
      </c>
      <c r="B23" s="5" t="s">
        <v>82</v>
      </c>
      <c r="C23">
        <v>7421</v>
      </c>
      <c r="D23" t="s">
        <v>47</v>
      </c>
    </row>
    <row r="24" spans="1:4" x14ac:dyDescent="0.3">
      <c r="A24">
        <v>721010</v>
      </c>
      <c r="B24" s="5" t="s">
        <v>83</v>
      </c>
      <c r="C24">
        <v>7300</v>
      </c>
      <c r="D24" t="s">
        <v>46</v>
      </c>
    </row>
    <row r="25" spans="1:4" x14ac:dyDescent="0.3">
      <c r="A25">
        <v>721020</v>
      </c>
      <c r="B25" s="5" t="s">
        <v>84</v>
      </c>
      <c r="C25">
        <v>7300</v>
      </c>
      <c r="D25" t="s">
        <v>46</v>
      </c>
    </row>
    <row r="26" spans="1:4" x14ac:dyDescent="0.3">
      <c r="A26">
        <v>721030</v>
      </c>
      <c r="B26" s="5" t="s">
        <v>85</v>
      </c>
      <c r="C26">
        <v>7300</v>
      </c>
      <c r="D26" t="s">
        <v>46</v>
      </c>
    </row>
    <row r="27" spans="1:4" x14ac:dyDescent="0.3">
      <c r="A27">
        <v>721090</v>
      </c>
      <c r="B27" s="5" t="s">
        <v>86</v>
      </c>
      <c r="C27">
        <v>7300</v>
      </c>
      <c r="D27" t="s">
        <v>46</v>
      </c>
    </row>
    <row r="28" spans="1:4" x14ac:dyDescent="0.3">
      <c r="A28">
        <v>731009</v>
      </c>
      <c r="B28" s="5" t="s">
        <v>87</v>
      </c>
      <c r="C28">
        <v>7430</v>
      </c>
      <c r="D28" t="s">
        <v>93</v>
      </c>
    </row>
    <row r="29" spans="1:4" x14ac:dyDescent="0.3">
      <c r="A29">
        <v>741000</v>
      </c>
      <c r="B29" s="5" t="s">
        <v>88</v>
      </c>
      <c r="C29">
        <v>7499</v>
      </c>
      <c r="D29" t="s">
        <v>48</v>
      </c>
    </row>
    <row r="30" spans="1:4" x14ac:dyDescent="0.3">
      <c r="A30">
        <v>749001</v>
      </c>
      <c r="B30" s="5" t="s">
        <v>89</v>
      </c>
      <c r="C30">
        <v>7499</v>
      </c>
      <c r="D30" t="s">
        <v>48</v>
      </c>
    </row>
    <row r="31" spans="1:4" x14ac:dyDescent="0.3">
      <c r="A31">
        <v>951100</v>
      </c>
      <c r="B31" t="s">
        <v>90</v>
      </c>
      <c r="C31">
        <v>7250</v>
      </c>
      <c r="D31" t="s">
        <v>45</v>
      </c>
    </row>
    <row r="33" spans="1:2" x14ac:dyDescent="0.3">
      <c r="A33" s="4" t="s">
        <v>49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52</v>
      </c>
      <c r="B35" t="s">
        <v>53</v>
      </c>
    </row>
    <row r="36" spans="1:2" x14ac:dyDescent="0.3">
      <c r="A36" t="s">
        <v>54</v>
      </c>
      <c r="B36" t="s">
        <v>55</v>
      </c>
    </row>
    <row r="38" spans="1:2" x14ac:dyDescent="0.3">
      <c r="A38" s="4" t="s">
        <v>56</v>
      </c>
    </row>
    <row r="39" spans="1:2" x14ac:dyDescent="0.3">
      <c r="A39" t="s">
        <v>57</v>
      </c>
      <c r="B39" t="s">
        <v>58</v>
      </c>
    </row>
    <row r="40" spans="1:2" x14ac:dyDescent="0.3">
      <c r="A40" t="s">
        <v>17</v>
      </c>
      <c r="B40" t="s">
        <v>59</v>
      </c>
    </row>
    <row r="41" spans="1:2" x14ac:dyDescent="0.3">
      <c r="A41" t="s">
        <v>60</v>
      </c>
      <c r="B41" t="s">
        <v>61</v>
      </c>
    </row>
    <row r="42" spans="1:2" x14ac:dyDescent="0.3">
      <c r="A42" s="4" t="s">
        <v>62</v>
      </c>
      <c r="B42" t="s">
        <v>63</v>
      </c>
    </row>
    <row r="44" spans="1:2" x14ac:dyDescent="0.3">
      <c r="A44" s="4" t="s">
        <v>64</v>
      </c>
    </row>
    <row r="45" spans="1:2" x14ac:dyDescent="0.3">
      <c r="A45" t="s">
        <v>65</v>
      </c>
      <c r="B45" t="s">
        <v>66</v>
      </c>
    </row>
    <row r="46" spans="1:2" x14ac:dyDescent="0.3">
      <c r="A46" t="s">
        <v>67</v>
      </c>
      <c r="B46" t="s">
        <v>68</v>
      </c>
    </row>
    <row r="47" spans="1:2" x14ac:dyDescent="0.3">
      <c r="A47" t="s">
        <v>69</v>
      </c>
      <c r="B47" t="s">
        <v>70</v>
      </c>
    </row>
    <row r="48" spans="1:2" x14ac:dyDescent="0.3">
      <c r="A48" t="s">
        <v>71</v>
      </c>
      <c r="B48" t="s">
        <v>72</v>
      </c>
    </row>
    <row r="49" spans="2:2" x14ac:dyDescent="0.3">
      <c r="B49" s="7" t="s">
        <v>94</v>
      </c>
    </row>
    <row r="50" spans="2:2" x14ac:dyDescent="0.3">
      <c r="B50" s="7" t="s">
        <v>95</v>
      </c>
    </row>
    <row r="51" spans="2:2" x14ac:dyDescent="0.3">
      <c r="B51" s="7" t="s">
        <v>97</v>
      </c>
    </row>
    <row r="52" spans="2:2" x14ac:dyDescent="0.3">
      <c r="B52" s="7" t="s">
        <v>96</v>
      </c>
    </row>
    <row r="53" spans="2:2" x14ac:dyDescent="0.3">
      <c r="B53" s="7" t="s">
        <v>98</v>
      </c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  <row r="63" spans="2:2" x14ac:dyDescent="0.3">
      <c r="B63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8" sqref="E8"/>
    </sheetView>
  </sheetViews>
  <sheetFormatPr baseColWidth="10" defaultColWidth="8.88671875" defaultRowHeight="14.4" x14ac:dyDescent="0.3"/>
  <cols>
    <col min="1" max="1" width="8" customWidth="1"/>
    <col min="2" max="2" width="25" customWidth="1"/>
    <col min="3" max="4" width="20" customWidth="1"/>
    <col min="5" max="5" width="14" customWidth="1"/>
  </cols>
  <sheetData>
    <row r="1" spans="1:5" x14ac:dyDescent="0.3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</row>
    <row r="2" spans="1:5" x14ac:dyDescent="0.3">
      <c r="A2">
        <v>2019</v>
      </c>
      <c r="B2">
        <v>11.5</v>
      </c>
      <c r="C2">
        <v>333</v>
      </c>
      <c r="D2">
        <v>355.8</v>
      </c>
      <c r="E2">
        <v>3.2</v>
      </c>
    </row>
    <row r="3" spans="1:5" x14ac:dyDescent="0.3">
      <c r="A3">
        <v>2020</v>
      </c>
      <c r="B3">
        <v>23.8</v>
      </c>
      <c r="C3">
        <v>273.8</v>
      </c>
      <c r="D3">
        <v>297.5</v>
      </c>
      <c r="E3">
        <v>8</v>
      </c>
    </row>
    <row r="4" spans="1:5" x14ac:dyDescent="0.3">
      <c r="A4">
        <v>2021</v>
      </c>
      <c r="B4">
        <v>29</v>
      </c>
      <c r="C4">
        <v>296.8</v>
      </c>
      <c r="D4">
        <v>336.5</v>
      </c>
      <c r="E4">
        <v>8.6</v>
      </c>
    </row>
    <row r="5" spans="1:5" x14ac:dyDescent="0.3">
      <c r="A5">
        <v>2022</v>
      </c>
      <c r="B5">
        <v>65.5</v>
      </c>
      <c r="C5">
        <v>370.8</v>
      </c>
      <c r="D5">
        <v>445</v>
      </c>
      <c r="E5">
        <v>14.7</v>
      </c>
    </row>
    <row r="6" spans="1:5" x14ac:dyDescent="0.3">
      <c r="A6">
        <v>2023</v>
      </c>
      <c r="B6">
        <v>88.5</v>
      </c>
      <c r="C6">
        <v>412.5</v>
      </c>
      <c r="D6">
        <v>512.79999999999995</v>
      </c>
      <c r="E6">
        <v>17.3</v>
      </c>
    </row>
    <row r="7" spans="1:5" x14ac:dyDescent="0.3">
      <c r="A7">
        <v>2024</v>
      </c>
      <c r="B7">
        <v>75.5</v>
      </c>
      <c r="C7">
        <v>430.2</v>
      </c>
      <c r="D7">
        <v>505.8</v>
      </c>
      <c r="E7">
        <v>14.9</v>
      </c>
    </row>
    <row r="8" spans="1:5" x14ac:dyDescent="0.3">
      <c r="A8">
        <v>2025</v>
      </c>
      <c r="B8">
        <v>63.8</v>
      </c>
      <c r="C8">
        <v>457.5</v>
      </c>
      <c r="D8">
        <v>521.20000000000005</v>
      </c>
      <c r="E8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5F87-71F7-4C9E-9C0E-438CD620AC09}">
  <dimension ref="A1"/>
  <sheetViews>
    <sheetView workbookViewId="0">
      <selection activeCell="B18" sqref="B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Empleo EC 2025</vt:lpstr>
      <vt:lpstr>Metodología</vt:lpstr>
      <vt:lpstr>Serie 2019-2025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yanina Rivero Diaz</cp:lastModifiedBy>
  <dcterms:created xsi:type="dcterms:W3CDTF">2026-09-24T13:27:23Z</dcterms:created>
  <dcterms:modified xsi:type="dcterms:W3CDTF">2026-09-24T22:54:45Z</dcterms:modified>
</cp:coreProperties>
</file>