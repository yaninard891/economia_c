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ea415e5fc5ce40/Escritorio/Cuentas provinciales/02_Recaudación provincial/"/>
    </mc:Choice>
  </mc:AlternateContent>
  <xr:revisionPtr revIDLastSave="7029" documentId="13_ncr:1_{4C71B454-A852-4853-9D5F-5DFC54D3C19C}" xr6:coauthVersionLast="47" xr6:coauthVersionMax="47" xr10:uidLastSave="{81B8A989-5F2D-4502-BF5A-F3C20BAD8B24}"/>
  <bookViews>
    <workbookView xWindow="-120" yWindow="-120" windowWidth="20730" windowHeight="11040" firstSheet="3" activeTab="7" xr2:uid="{00000000-000D-0000-FFFF-FFFF00000000}"/>
  </bookViews>
  <sheets>
    <sheet name="TOTAL" sheetId="1" r:id="rId1"/>
    <sheet name="II.BB" sheetId="2" r:id="rId2"/>
    <sheet name="INMOBILIARIO" sheetId="8" r:id="rId3"/>
    <sheet name="AUTOMOTOR" sheetId="7" r:id="rId4"/>
    <sheet name="SELLOS" sheetId="3" r:id="rId5"/>
    <sheet name="OTROS" sheetId="6" r:id="rId6"/>
    <sheet name="Resumen 2025-2026" sheetId="9" r:id="rId7"/>
    <sheet name="ING. BRUTOS - % real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O26" i="6" l="1"/>
  <c r="CO26" i="3"/>
  <c r="CO26" i="7"/>
  <c r="CO26" i="8"/>
  <c r="CO26" i="2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AF3" i="9" s="1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R84" i="3" s="1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Q81" i="3" s="1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CN53" i="3"/>
  <c r="CM53" i="3"/>
  <c r="CL53" i="3"/>
  <c r="CK53" i="3"/>
  <c r="CJ53" i="3"/>
  <c r="CI53" i="3"/>
  <c r="CH53" i="3"/>
  <c r="CG53" i="3"/>
  <c r="CF53" i="3"/>
  <c r="CF80" i="3" s="1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J80" i="3" s="1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B78" i="3" s="1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D78" i="3" s="1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X76" i="3" s="1"/>
  <c r="BW49" i="3"/>
  <c r="BV49" i="3"/>
  <c r="BU49" i="3"/>
  <c r="BT49" i="3"/>
  <c r="BS49" i="3"/>
  <c r="BR49" i="3"/>
  <c r="BQ49" i="3"/>
  <c r="BP49" i="3"/>
  <c r="BO49" i="3"/>
  <c r="BN49" i="3"/>
  <c r="BM49" i="3"/>
  <c r="BL49" i="3"/>
  <c r="BL76" i="3" s="1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P76" i="3" s="1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L74" i="3" s="1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N74" i="3" s="1"/>
  <c r="M47" i="3"/>
  <c r="L47" i="3"/>
  <c r="K47" i="3"/>
  <c r="J47" i="3"/>
  <c r="I47" i="3"/>
  <c r="H47" i="3"/>
  <c r="G47" i="3"/>
  <c r="F47" i="3"/>
  <c r="E47" i="3"/>
  <c r="D47" i="3"/>
  <c r="C47" i="3"/>
  <c r="B47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E73" i="3" s="1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Q73" i="3" s="1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CN44" i="3"/>
  <c r="CM44" i="3"/>
  <c r="CM71" i="3" s="1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C71" i="3" s="1"/>
  <c r="BB44" i="3"/>
  <c r="BA44" i="3"/>
  <c r="BA71" i="3" s="1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I71" i="3" s="1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F67" i="3" s="1"/>
  <c r="AE40" i="3"/>
  <c r="AD40" i="3"/>
  <c r="AC40" i="3"/>
  <c r="AB40" i="3"/>
  <c r="AA40" i="3"/>
  <c r="Z40" i="3"/>
  <c r="Y40" i="3"/>
  <c r="X40" i="3"/>
  <c r="X67" i="3" s="1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CN37" i="3"/>
  <c r="CM37" i="3"/>
  <c r="CL37" i="3"/>
  <c r="CK37" i="3"/>
  <c r="CK64" i="3" s="1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R64" i="3" s="1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T64" i="3" s="1"/>
  <c r="S37" i="3"/>
  <c r="R37" i="3"/>
  <c r="Q37" i="3"/>
  <c r="P37" i="3"/>
  <c r="P64" i="3" s="1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M63" i="3" s="1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CN26" i="3"/>
  <c r="CN58" i="3" s="1"/>
  <c r="CN26" i="7"/>
  <c r="CN26" i="8"/>
  <c r="CN26" i="2"/>
  <c r="CN26" i="6"/>
  <c r="CM26" i="7"/>
  <c r="CM26" i="6"/>
  <c r="CL26" i="6"/>
  <c r="CM26" i="3"/>
  <c r="CM58" i="3" s="1"/>
  <c r="CL26" i="7"/>
  <c r="CM26" i="8"/>
  <c r="CL26" i="8"/>
  <c r="CM26" i="2"/>
  <c r="CL26" i="2"/>
  <c r="CL26" i="3"/>
  <c r="CL58" i="3" s="1"/>
  <c r="CK26" i="3"/>
  <c r="CK58" i="3" s="1"/>
  <c r="CK26" i="7"/>
  <c r="CK26" i="8"/>
  <c r="CK26" i="2"/>
  <c r="CK26" i="6"/>
  <c r="AF5" i="9" l="1"/>
  <c r="BK83" i="3"/>
  <c r="AF7" i="9"/>
  <c r="AF4" i="9"/>
  <c r="AF6" i="9"/>
  <c r="Y61" i="3"/>
  <c r="AK61" i="3"/>
  <c r="AW61" i="3"/>
  <c r="BI61" i="3"/>
  <c r="BU61" i="3"/>
  <c r="CC61" i="3"/>
  <c r="N62" i="3"/>
  <c r="Z62" i="3"/>
  <c r="AP62" i="3"/>
  <c r="BB62" i="3"/>
  <c r="BN62" i="3"/>
  <c r="BZ62" i="3"/>
  <c r="CH62" i="3"/>
  <c r="S63" i="3"/>
  <c r="AY63" i="3"/>
  <c r="BO63" i="3"/>
  <c r="BW63" i="3"/>
  <c r="CM63" i="3"/>
  <c r="X64" i="3"/>
  <c r="AF64" i="3"/>
  <c r="AJ64" i="3"/>
  <c r="AV64" i="3"/>
  <c r="BD64" i="3"/>
  <c r="BP64" i="3"/>
  <c r="CB64" i="3"/>
  <c r="CF64" i="3"/>
  <c r="Q65" i="3"/>
  <c r="AG65" i="3"/>
  <c r="AS65" i="3"/>
  <c r="BA65" i="3"/>
  <c r="BM65" i="3"/>
  <c r="BY65" i="3"/>
  <c r="CK65" i="3"/>
  <c r="R66" i="3"/>
  <c r="Z66" i="3"/>
  <c r="AH66" i="3"/>
  <c r="AX66" i="3"/>
  <c r="BJ66" i="3"/>
  <c r="BR66" i="3"/>
  <c r="CD66" i="3"/>
  <c r="O67" i="3"/>
  <c r="AI67" i="3"/>
  <c r="AU67" i="3"/>
  <c r="BC67" i="3"/>
  <c r="BO67" i="3"/>
  <c r="CA67" i="3"/>
  <c r="CI67" i="3"/>
  <c r="T68" i="3"/>
  <c r="AJ68" i="3"/>
  <c r="AV68" i="3"/>
  <c r="BL68" i="3"/>
  <c r="BX68" i="3"/>
  <c r="CJ68" i="3"/>
  <c r="Y69" i="3"/>
  <c r="AK69" i="3"/>
  <c r="AS69" i="3"/>
  <c r="BE69" i="3"/>
  <c r="BQ69" i="3"/>
  <c r="CC69" i="3"/>
  <c r="V70" i="3"/>
  <c r="AH70" i="3"/>
  <c r="AT70" i="3"/>
  <c r="BJ70" i="3"/>
  <c r="U61" i="3"/>
  <c r="AG61" i="3"/>
  <c r="AS61" i="3"/>
  <c r="BE61" i="3"/>
  <c r="BQ61" i="3"/>
  <c r="CG61" i="3"/>
  <c r="V62" i="3"/>
  <c r="AH62" i="3"/>
  <c r="AX62" i="3"/>
  <c r="BJ62" i="3"/>
  <c r="BV62" i="3"/>
  <c r="CD62" i="3"/>
  <c r="W63" i="3"/>
  <c r="AE63" i="3"/>
  <c r="AQ63" i="3"/>
  <c r="BC63" i="3"/>
  <c r="BK63" i="3"/>
  <c r="CE63" i="3"/>
  <c r="BH64" i="3"/>
  <c r="BT64" i="3"/>
  <c r="CN64" i="3"/>
  <c r="Y65" i="3"/>
  <c r="AK65" i="3"/>
  <c r="BE65" i="3"/>
  <c r="BU65" i="3"/>
  <c r="CG65" i="3"/>
  <c r="V66" i="3"/>
  <c r="AL66" i="3"/>
  <c r="AT66" i="3"/>
  <c r="BF66" i="3"/>
  <c r="BZ66" i="3"/>
  <c r="CL66" i="3"/>
  <c r="W67" i="3"/>
  <c r="AA67" i="3"/>
  <c r="AM67" i="3"/>
  <c r="AY67" i="3"/>
  <c r="BK67" i="3"/>
  <c r="BS67" i="3"/>
  <c r="CE67" i="3"/>
  <c r="X68" i="3"/>
  <c r="AF68" i="3"/>
  <c r="AR68" i="3"/>
  <c r="BD68" i="3"/>
  <c r="BP68" i="3"/>
  <c r="CB68" i="3"/>
  <c r="CN68" i="3"/>
  <c r="Q69" i="3"/>
  <c r="AG69" i="3"/>
  <c r="AW69" i="3"/>
  <c r="BM69" i="3"/>
  <c r="BU69" i="3"/>
  <c r="CK69" i="3"/>
  <c r="R70" i="3"/>
  <c r="AD70" i="3"/>
  <c r="AP70" i="3"/>
  <c r="BB70" i="3"/>
  <c r="BF70" i="3"/>
  <c r="Q61" i="3"/>
  <c r="AC61" i="3"/>
  <c r="AO61" i="3"/>
  <c r="BA61" i="3"/>
  <c r="BM61" i="3"/>
  <c r="BY61" i="3"/>
  <c r="CK61" i="3"/>
  <c r="R62" i="3"/>
  <c r="AD62" i="3"/>
  <c r="AL62" i="3"/>
  <c r="AT62" i="3"/>
  <c r="BF62" i="3"/>
  <c r="BR62" i="3"/>
  <c r="CL62" i="3"/>
  <c r="O63" i="3"/>
  <c r="AA63" i="3"/>
  <c r="AI63" i="3"/>
  <c r="AU63" i="3"/>
  <c r="BG63" i="3"/>
  <c r="BS63" i="3"/>
  <c r="CA63" i="3"/>
  <c r="CI63" i="3"/>
  <c r="AB64" i="3"/>
  <c r="AN64" i="3"/>
  <c r="AZ64" i="3"/>
  <c r="BL64" i="3"/>
  <c r="BX64" i="3"/>
  <c r="CJ64" i="3"/>
  <c r="U65" i="3"/>
  <c r="AC65" i="3"/>
  <c r="AO65" i="3"/>
  <c r="AW65" i="3"/>
  <c r="BI65" i="3"/>
  <c r="BQ65" i="3"/>
  <c r="CC65" i="3"/>
  <c r="N66" i="3"/>
  <c r="AD66" i="3"/>
  <c r="AP66" i="3"/>
  <c r="BB66" i="3"/>
  <c r="BN66" i="3"/>
  <c r="BV66" i="3"/>
  <c r="CH66" i="3"/>
  <c r="S67" i="3"/>
  <c r="AE67" i="3"/>
  <c r="AQ67" i="3"/>
  <c r="BG67" i="3"/>
  <c r="BW67" i="3"/>
  <c r="CM67" i="3"/>
  <c r="P68" i="3"/>
  <c r="AB68" i="3"/>
  <c r="AN68" i="3"/>
  <c r="AZ68" i="3"/>
  <c r="BH68" i="3"/>
  <c r="BT68" i="3"/>
  <c r="CF68" i="3"/>
  <c r="U69" i="3"/>
  <c r="AC69" i="3"/>
  <c r="AO69" i="3"/>
  <c r="BA69" i="3"/>
  <c r="BI69" i="3"/>
  <c r="BY69" i="3"/>
  <c r="CG69" i="3"/>
  <c r="N70" i="3"/>
  <c r="Z70" i="3"/>
  <c r="AL70" i="3"/>
  <c r="AX70" i="3"/>
  <c r="BR70" i="3"/>
  <c r="BN70" i="3"/>
  <c r="BZ70" i="3"/>
  <c r="CL70" i="3"/>
  <c r="W71" i="3"/>
  <c r="AE71" i="3"/>
  <c r="AM71" i="3"/>
  <c r="AY71" i="3"/>
  <c r="BK71" i="3"/>
  <c r="BS71" i="3"/>
  <c r="CA71" i="3"/>
  <c r="CE71" i="3"/>
  <c r="T72" i="3"/>
  <c r="AF72" i="3"/>
  <c r="AN72" i="3"/>
  <c r="AZ72" i="3"/>
  <c r="BL72" i="3"/>
  <c r="BX72" i="3"/>
  <c r="CJ72" i="3"/>
  <c r="U73" i="3"/>
  <c r="AG73" i="3"/>
  <c r="AW73" i="3"/>
  <c r="BM73" i="3"/>
  <c r="BU73" i="3"/>
  <c r="CG73" i="3"/>
  <c r="V74" i="3"/>
  <c r="AD74" i="3"/>
  <c r="AP74" i="3"/>
  <c r="AX74" i="3"/>
  <c r="BJ74" i="3"/>
  <c r="BV74" i="3"/>
  <c r="CD74" i="3"/>
  <c r="S75" i="3"/>
  <c r="AE75" i="3"/>
  <c r="AQ75" i="3"/>
  <c r="BC75" i="3"/>
  <c r="BO75" i="3"/>
  <c r="BW75" i="3"/>
  <c r="CE75" i="3"/>
  <c r="AB76" i="3"/>
  <c r="AJ76" i="3"/>
  <c r="AV76" i="3"/>
  <c r="BH76" i="3"/>
  <c r="BP76" i="3"/>
  <c r="CB76" i="3"/>
  <c r="CN76" i="3"/>
  <c r="Y77" i="3"/>
  <c r="AK77" i="3"/>
  <c r="AO77" i="3"/>
  <c r="BA77" i="3"/>
  <c r="BI77" i="3"/>
  <c r="BU77" i="3"/>
  <c r="CC77" i="3"/>
  <c r="R78" i="3"/>
  <c r="Z78" i="3"/>
  <c r="AL78" i="3"/>
  <c r="AT78" i="3"/>
  <c r="BF78" i="3"/>
  <c r="BN78" i="3"/>
  <c r="BZ78" i="3"/>
  <c r="CL78" i="3"/>
  <c r="O79" i="3"/>
  <c r="AA79" i="3"/>
  <c r="AM79" i="3"/>
  <c r="AY79" i="3"/>
  <c r="BK79" i="3"/>
  <c r="BW79" i="3"/>
  <c r="CI79" i="3"/>
  <c r="X80" i="3"/>
  <c r="AF80" i="3"/>
  <c r="AJ80" i="3"/>
  <c r="AV80" i="3"/>
  <c r="BD80" i="3"/>
  <c r="BP80" i="3"/>
  <c r="BX80" i="3"/>
  <c r="CN80" i="3"/>
  <c r="Y81" i="3"/>
  <c r="AC81" i="3"/>
  <c r="AO81" i="3"/>
  <c r="BE81" i="3"/>
  <c r="BQ81" i="3"/>
  <c r="BU81" i="3"/>
  <c r="CK81" i="3"/>
  <c r="R82" i="3"/>
  <c r="AD82" i="3"/>
  <c r="AL82" i="3"/>
  <c r="AT82" i="3"/>
  <c r="BB82" i="3"/>
  <c r="BJ82" i="3"/>
  <c r="BV82" i="3"/>
  <c r="CL82" i="3"/>
  <c r="S83" i="3"/>
  <c r="AE83" i="3"/>
  <c r="AQ83" i="3"/>
  <c r="BG83" i="3"/>
  <c r="BS83" i="3"/>
  <c r="AJ67" i="3"/>
  <c r="AN67" i="3"/>
  <c r="AR67" i="3"/>
  <c r="AV67" i="3"/>
  <c r="AZ67" i="3"/>
  <c r="BD67" i="3"/>
  <c r="BH67" i="3"/>
  <c r="BL67" i="3"/>
  <c r="BP67" i="3"/>
  <c r="BT67" i="3"/>
  <c r="BX67" i="3"/>
  <c r="CB67" i="3"/>
  <c r="CF67" i="3"/>
  <c r="CJ67" i="3"/>
  <c r="CN67" i="3"/>
  <c r="Q68" i="3"/>
  <c r="U68" i="3"/>
  <c r="Y68" i="3"/>
  <c r="AC68" i="3"/>
  <c r="AG68" i="3"/>
  <c r="AK68" i="3"/>
  <c r="AO68" i="3"/>
  <c r="AS68" i="3"/>
  <c r="AW68" i="3"/>
  <c r="BA68" i="3"/>
  <c r="BE68" i="3"/>
  <c r="BI68" i="3"/>
  <c r="BM68" i="3"/>
  <c r="BQ68" i="3"/>
  <c r="BU68" i="3"/>
  <c r="BY68" i="3"/>
  <c r="CC68" i="3"/>
  <c r="CG68" i="3"/>
  <c r="CK68" i="3"/>
  <c r="N69" i="3"/>
  <c r="R69" i="3"/>
  <c r="V69" i="3"/>
  <c r="Z69" i="3"/>
  <c r="AD69" i="3"/>
  <c r="AH69" i="3"/>
  <c r="AL69" i="3"/>
  <c r="AP69" i="3"/>
  <c r="AT69" i="3"/>
  <c r="AX69" i="3"/>
  <c r="BB69" i="3"/>
  <c r="BF69" i="3"/>
  <c r="BJ69" i="3"/>
  <c r="BN69" i="3"/>
  <c r="BR69" i="3"/>
  <c r="BV69" i="3"/>
  <c r="BZ69" i="3"/>
  <c r="CD69" i="3"/>
  <c r="CH69" i="3"/>
  <c r="CL69" i="3"/>
  <c r="O70" i="3"/>
  <c r="S70" i="3"/>
  <c r="W70" i="3"/>
  <c r="AA70" i="3"/>
  <c r="AE70" i="3"/>
  <c r="AI70" i="3"/>
  <c r="AM70" i="3"/>
  <c r="AQ70" i="3"/>
  <c r="AU70" i="3"/>
  <c r="AY70" i="3"/>
  <c r="BC70" i="3"/>
  <c r="BG70" i="3"/>
  <c r="BK70" i="3"/>
  <c r="BO70" i="3"/>
  <c r="BS70" i="3"/>
  <c r="BW70" i="3"/>
  <c r="CA70" i="3"/>
  <c r="BV70" i="3"/>
  <c r="CH70" i="3"/>
  <c r="S71" i="3"/>
  <c r="AA71" i="3"/>
  <c r="AQ71" i="3"/>
  <c r="AU71" i="3"/>
  <c r="BG71" i="3"/>
  <c r="BW71" i="3"/>
  <c r="CI71" i="3"/>
  <c r="P72" i="3"/>
  <c r="AB72" i="3"/>
  <c r="AJ72" i="3"/>
  <c r="AV72" i="3"/>
  <c r="BD72" i="3"/>
  <c r="BP72" i="3"/>
  <c r="CB72" i="3"/>
  <c r="CN72" i="3"/>
  <c r="Y73" i="3"/>
  <c r="AK73" i="3"/>
  <c r="AO73" i="3"/>
  <c r="BA73" i="3"/>
  <c r="BI73" i="3"/>
  <c r="BY73" i="3"/>
  <c r="CK73" i="3"/>
  <c r="R74" i="3"/>
  <c r="Z74" i="3"/>
  <c r="AH74" i="3"/>
  <c r="AT74" i="3"/>
  <c r="BF74" i="3"/>
  <c r="BR74" i="3"/>
  <c r="CH74" i="3"/>
  <c r="O75" i="3"/>
  <c r="AA75" i="3"/>
  <c r="AM75" i="3"/>
  <c r="AY75" i="3"/>
  <c r="BK75" i="3"/>
  <c r="BS75" i="3"/>
  <c r="CI75" i="3"/>
  <c r="X76" i="3"/>
  <c r="AF76" i="3"/>
  <c r="AR76" i="3"/>
  <c r="AZ76" i="3"/>
  <c r="BD76" i="3"/>
  <c r="BT76" i="3"/>
  <c r="CF76" i="3"/>
  <c r="U77" i="3"/>
  <c r="AG77" i="3"/>
  <c r="AS77" i="3"/>
  <c r="BE77" i="3"/>
  <c r="BM77" i="3"/>
  <c r="BY77" i="3"/>
  <c r="CK77" i="3"/>
  <c r="N78" i="3"/>
  <c r="V78" i="3"/>
  <c r="AH78" i="3"/>
  <c r="AP78" i="3"/>
  <c r="AX78" i="3"/>
  <c r="BJ78" i="3"/>
  <c r="BR78" i="3"/>
  <c r="CH78" i="3"/>
  <c r="S79" i="3"/>
  <c r="AE79" i="3"/>
  <c r="AI79" i="3"/>
  <c r="AU79" i="3"/>
  <c r="BG79" i="3"/>
  <c r="BO79" i="3"/>
  <c r="CA79" i="3"/>
  <c r="CM79" i="3"/>
  <c r="P80" i="3"/>
  <c r="T80" i="3"/>
  <c r="AN80" i="3"/>
  <c r="AZ80" i="3"/>
  <c r="BH80" i="3"/>
  <c r="BT80" i="3"/>
  <c r="CB80" i="3"/>
  <c r="CJ80" i="3"/>
  <c r="U81" i="3"/>
  <c r="AG81" i="3"/>
  <c r="AS81" i="3"/>
  <c r="BA81" i="3"/>
  <c r="BM81" i="3"/>
  <c r="BY81" i="3"/>
  <c r="CG81" i="3"/>
  <c r="N82" i="3"/>
  <c r="Z82" i="3"/>
  <c r="AH82" i="3"/>
  <c r="AX82" i="3"/>
  <c r="BN82" i="3"/>
  <c r="BZ82" i="3"/>
  <c r="CH82" i="3"/>
  <c r="O83" i="3"/>
  <c r="AA83" i="3"/>
  <c r="AM83" i="3"/>
  <c r="AU83" i="3"/>
  <c r="AY83" i="3"/>
  <c r="BC83" i="3"/>
  <c r="BO83" i="3"/>
  <c r="CA83" i="3"/>
  <c r="R61" i="3"/>
  <c r="Z61" i="3"/>
  <c r="AH61" i="3"/>
  <c r="AP61" i="3"/>
  <c r="AT61" i="3"/>
  <c r="BB61" i="3"/>
  <c r="BF61" i="3"/>
  <c r="BN61" i="3"/>
  <c r="BV61" i="3"/>
  <c r="CD61" i="3"/>
  <c r="CL61" i="3"/>
  <c r="O62" i="3"/>
  <c r="W62" i="3"/>
  <c r="AE62" i="3"/>
  <c r="AI62" i="3"/>
  <c r="AQ62" i="3"/>
  <c r="AY62" i="3"/>
  <c r="BG62" i="3"/>
  <c r="BO62" i="3"/>
  <c r="BW62" i="3"/>
  <c r="CE62" i="3"/>
  <c r="CM62" i="3"/>
  <c r="T63" i="3"/>
  <c r="AB63" i="3"/>
  <c r="AJ63" i="3"/>
  <c r="AR63" i="3"/>
  <c r="AZ63" i="3"/>
  <c r="BL63" i="3"/>
  <c r="BT63" i="3"/>
  <c r="CF63" i="3"/>
  <c r="CN63" i="3"/>
  <c r="Q64" i="3"/>
  <c r="Y64" i="3"/>
  <c r="AG64" i="3"/>
  <c r="AK64" i="3"/>
  <c r="AW64" i="3"/>
  <c r="BM64" i="3"/>
  <c r="O61" i="3"/>
  <c r="S61" i="3"/>
  <c r="W61" i="3"/>
  <c r="AA61" i="3"/>
  <c r="AE61" i="3"/>
  <c r="AI61" i="3"/>
  <c r="AM61" i="3"/>
  <c r="AQ61" i="3"/>
  <c r="AU61" i="3"/>
  <c r="AY61" i="3"/>
  <c r="BC61" i="3"/>
  <c r="BG61" i="3"/>
  <c r="BK61" i="3"/>
  <c r="BO61" i="3"/>
  <c r="BS61" i="3"/>
  <c r="BW61" i="3"/>
  <c r="CA61" i="3"/>
  <c r="CE61" i="3"/>
  <c r="CI61" i="3"/>
  <c r="CM61" i="3"/>
  <c r="P62" i="3"/>
  <c r="T62" i="3"/>
  <c r="X62" i="3"/>
  <c r="AB62" i="3"/>
  <c r="AF62" i="3"/>
  <c r="AJ62" i="3"/>
  <c r="AN62" i="3"/>
  <c r="AR62" i="3"/>
  <c r="AV62" i="3"/>
  <c r="AZ62" i="3"/>
  <c r="BD62" i="3"/>
  <c r="BH62" i="3"/>
  <c r="BL62" i="3"/>
  <c r="BP62" i="3"/>
  <c r="BT62" i="3"/>
  <c r="BX62" i="3"/>
  <c r="CB62" i="3"/>
  <c r="CF62" i="3"/>
  <c r="CJ62" i="3"/>
  <c r="CN62" i="3"/>
  <c r="Q63" i="3"/>
  <c r="U63" i="3"/>
  <c r="Y63" i="3"/>
  <c r="AC63" i="3"/>
  <c r="AG63" i="3"/>
  <c r="AK63" i="3"/>
  <c r="AO63" i="3"/>
  <c r="AS63" i="3"/>
  <c r="AW63" i="3"/>
  <c r="BA63" i="3"/>
  <c r="BE63" i="3"/>
  <c r="BI63" i="3"/>
  <c r="BM63" i="3"/>
  <c r="BQ63" i="3"/>
  <c r="BU63" i="3"/>
  <c r="BY63" i="3"/>
  <c r="CC63" i="3"/>
  <c r="CG63" i="3"/>
  <c r="CK63" i="3"/>
  <c r="N64" i="3"/>
  <c r="R64" i="3"/>
  <c r="V64" i="3"/>
  <c r="Z64" i="3"/>
  <c r="AD64" i="3"/>
  <c r="AH64" i="3"/>
  <c r="AL64" i="3"/>
  <c r="AP64" i="3"/>
  <c r="AT64" i="3"/>
  <c r="AX64" i="3"/>
  <c r="BB64" i="3"/>
  <c r="BF64" i="3"/>
  <c r="BJ64" i="3"/>
  <c r="BN64" i="3"/>
  <c r="BR64" i="3"/>
  <c r="BV64" i="3"/>
  <c r="BZ64" i="3"/>
  <c r="CD64" i="3"/>
  <c r="CH64" i="3"/>
  <c r="CL64" i="3"/>
  <c r="O65" i="3"/>
  <c r="S65" i="3"/>
  <c r="W65" i="3"/>
  <c r="AA65" i="3"/>
  <c r="AE65" i="3"/>
  <c r="AI65" i="3"/>
  <c r="AM65" i="3"/>
  <c r="AQ65" i="3"/>
  <c r="AU65" i="3"/>
  <c r="AY65" i="3"/>
  <c r="BC65" i="3"/>
  <c r="BG65" i="3"/>
  <c r="BK65" i="3"/>
  <c r="BO65" i="3"/>
  <c r="BS65" i="3"/>
  <c r="BW65" i="3"/>
  <c r="CA65" i="3"/>
  <c r="CE65" i="3"/>
  <c r="CI65" i="3"/>
  <c r="CM65" i="3"/>
  <c r="P66" i="3"/>
  <c r="T66" i="3"/>
  <c r="X66" i="3"/>
  <c r="AB66" i="3"/>
  <c r="AF66" i="3"/>
  <c r="AJ66" i="3"/>
  <c r="AN66" i="3"/>
  <c r="AR66" i="3"/>
  <c r="AV66" i="3"/>
  <c r="AZ66" i="3"/>
  <c r="BD66" i="3"/>
  <c r="BH66" i="3"/>
  <c r="BL66" i="3"/>
  <c r="BP66" i="3"/>
  <c r="BT66" i="3"/>
  <c r="BX66" i="3"/>
  <c r="CB66" i="3"/>
  <c r="CF66" i="3"/>
  <c r="CJ66" i="3"/>
  <c r="CN66" i="3"/>
  <c r="Q67" i="3"/>
  <c r="U67" i="3"/>
  <c r="Y67" i="3"/>
  <c r="AC67" i="3"/>
  <c r="AG67" i="3"/>
  <c r="AK67" i="3"/>
  <c r="AO67" i="3"/>
  <c r="AS67" i="3"/>
  <c r="AW67" i="3"/>
  <c r="BA67" i="3"/>
  <c r="BE67" i="3"/>
  <c r="BI67" i="3"/>
  <c r="BM67" i="3"/>
  <c r="BQ67" i="3"/>
  <c r="BU67" i="3"/>
  <c r="BY67" i="3"/>
  <c r="CC67" i="3"/>
  <c r="CG67" i="3"/>
  <c r="CK67" i="3"/>
  <c r="N68" i="3"/>
  <c r="R68" i="3"/>
  <c r="V68" i="3"/>
  <c r="Z68" i="3"/>
  <c r="AD68" i="3"/>
  <c r="AH68" i="3"/>
  <c r="AL68" i="3"/>
  <c r="AP68" i="3"/>
  <c r="AT68" i="3"/>
  <c r="AX68" i="3"/>
  <c r="BB68" i="3"/>
  <c r="BF68" i="3"/>
  <c r="BJ68" i="3"/>
  <c r="BN68" i="3"/>
  <c r="BR68" i="3"/>
  <c r="BV68" i="3"/>
  <c r="BZ68" i="3"/>
  <c r="CD68" i="3"/>
  <c r="CH68" i="3"/>
  <c r="CL68" i="3"/>
  <c r="O69" i="3"/>
  <c r="S69" i="3"/>
  <c r="W69" i="3"/>
  <c r="AA69" i="3"/>
  <c r="AE69" i="3"/>
  <c r="AI69" i="3"/>
  <c r="AM69" i="3"/>
  <c r="AQ69" i="3"/>
  <c r="AU69" i="3"/>
  <c r="AY69" i="3"/>
  <c r="BC69" i="3"/>
  <c r="BG69" i="3"/>
  <c r="BK69" i="3"/>
  <c r="BO69" i="3"/>
  <c r="BS69" i="3"/>
  <c r="BW69" i="3"/>
  <c r="CA69" i="3"/>
  <c r="CE69" i="3"/>
  <c r="CI69" i="3"/>
  <c r="CM69" i="3"/>
  <c r="P70" i="3"/>
  <c r="T70" i="3"/>
  <c r="X70" i="3"/>
  <c r="AB70" i="3"/>
  <c r="AF70" i="3"/>
  <c r="AJ70" i="3"/>
  <c r="AN70" i="3"/>
  <c r="AR70" i="3"/>
  <c r="AV70" i="3"/>
  <c r="AZ70" i="3"/>
  <c r="BD70" i="3"/>
  <c r="BH70" i="3"/>
  <c r="BL70" i="3"/>
  <c r="BP70" i="3"/>
  <c r="BT70" i="3"/>
  <c r="BX70" i="3"/>
  <c r="CD70" i="3"/>
  <c r="O71" i="3"/>
  <c r="BO71" i="3"/>
  <c r="X72" i="3"/>
  <c r="AR72" i="3"/>
  <c r="BH72" i="3"/>
  <c r="BT72" i="3"/>
  <c r="CF72" i="3"/>
  <c r="AC73" i="3"/>
  <c r="AS73" i="3"/>
  <c r="BQ73" i="3"/>
  <c r="CC73" i="3"/>
  <c r="BB74" i="3"/>
  <c r="BN74" i="3"/>
  <c r="BZ74" i="3"/>
  <c r="CL74" i="3"/>
  <c r="W75" i="3"/>
  <c r="AI75" i="3"/>
  <c r="AU75" i="3"/>
  <c r="BG75" i="3"/>
  <c r="CA75" i="3"/>
  <c r="CM75" i="3"/>
  <c r="T76" i="3"/>
  <c r="AN76" i="3"/>
  <c r="CJ76" i="3"/>
  <c r="Q77" i="3"/>
  <c r="AC77" i="3"/>
  <c r="AW77" i="3"/>
  <c r="BQ77" i="3"/>
  <c r="CG77" i="3"/>
  <c r="BV78" i="3"/>
  <c r="CD78" i="3"/>
  <c r="W79" i="3"/>
  <c r="AQ79" i="3"/>
  <c r="BC79" i="3"/>
  <c r="BS79" i="3"/>
  <c r="CE79" i="3"/>
  <c r="AB80" i="3"/>
  <c r="AR80" i="3"/>
  <c r="BL80" i="3"/>
  <c r="AK81" i="3"/>
  <c r="AW81" i="3"/>
  <c r="BI81" i="3"/>
  <c r="CC81" i="3"/>
  <c r="V82" i="3"/>
  <c r="AP82" i="3"/>
  <c r="BF82" i="3"/>
  <c r="BR82" i="3"/>
  <c r="CD82" i="3"/>
  <c r="W83" i="3"/>
  <c r="AI83" i="3"/>
  <c r="BW83" i="3"/>
  <c r="N61" i="3"/>
  <c r="V61" i="3"/>
  <c r="AD61" i="3"/>
  <c r="AL61" i="3"/>
  <c r="AX61" i="3"/>
  <c r="BJ61" i="3"/>
  <c r="BR61" i="3"/>
  <c r="BZ61" i="3"/>
  <c r="CH61" i="3"/>
  <c r="S62" i="3"/>
  <c r="AA62" i="3"/>
  <c r="AM62" i="3"/>
  <c r="AU62" i="3"/>
  <c r="BC62" i="3"/>
  <c r="BK62" i="3"/>
  <c r="BS62" i="3"/>
  <c r="CA62" i="3"/>
  <c r="CI62" i="3"/>
  <c r="P63" i="3"/>
  <c r="X63" i="3"/>
  <c r="AF63" i="3"/>
  <c r="AN63" i="3"/>
  <c r="AV63" i="3"/>
  <c r="BD63" i="3"/>
  <c r="BH63" i="3"/>
  <c r="BP63" i="3"/>
  <c r="BX63" i="3"/>
  <c r="CB63" i="3"/>
  <c r="CJ63" i="3"/>
  <c r="U64" i="3"/>
  <c r="AC64" i="3"/>
  <c r="AO64" i="3"/>
  <c r="AS64" i="3"/>
  <c r="BA64" i="3"/>
  <c r="BE64" i="3"/>
  <c r="BI64" i="3"/>
  <c r="BQ64" i="3"/>
  <c r="BU64" i="3"/>
  <c r="BY64" i="3"/>
  <c r="CC64" i="3"/>
  <c r="CG64" i="3"/>
  <c r="N65" i="3"/>
  <c r="R65" i="3"/>
  <c r="V65" i="3"/>
  <c r="Z65" i="3"/>
  <c r="AD65" i="3"/>
  <c r="AH65" i="3"/>
  <c r="AL65" i="3"/>
  <c r="AP65" i="3"/>
  <c r="AT65" i="3"/>
  <c r="AX65" i="3"/>
  <c r="BB65" i="3"/>
  <c r="BF65" i="3"/>
  <c r="BJ65" i="3"/>
  <c r="BN65" i="3"/>
  <c r="BR65" i="3"/>
  <c r="BV65" i="3"/>
  <c r="BZ65" i="3"/>
  <c r="CD65" i="3"/>
  <c r="CH65" i="3"/>
  <c r="CL65" i="3"/>
  <c r="O66" i="3"/>
  <c r="S66" i="3"/>
  <c r="W66" i="3"/>
  <c r="AA66" i="3"/>
  <c r="AE66" i="3"/>
  <c r="AI66" i="3"/>
  <c r="AM66" i="3"/>
  <c r="AQ66" i="3"/>
  <c r="AU66" i="3"/>
  <c r="AY66" i="3"/>
  <c r="BC66" i="3"/>
  <c r="BG66" i="3"/>
  <c r="BK66" i="3"/>
  <c r="BO66" i="3"/>
  <c r="BS66" i="3"/>
  <c r="BW66" i="3"/>
  <c r="CA66" i="3"/>
  <c r="CE66" i="3"/>
  <c r="CI66" i="3"/>
  <c r="CM66" i="3"/>
  <c r="P67" i="3"/>
  <c r="T67" i="3"/>
  <c r="AB67" i="3"/>
  <c r="P61" i="3"/>
  <c r="T61" i="3"/>
  <c r="X61" i="3"/>
  <c r="AB61" i="3"/>
  <c r="AF61" i="3"/>
  <c r="AJ61" i="3"/>
  <c r="AN61" i="3"/>
  <c r="AR61" i="3"/>
  <c r="AV61" i="3"/>
  <c r="AZ61" i="3"/>
  <c r="BD61" i="3"/>
  <c r="BH61" i="3"/>
  <c r="BL61" i="3"/>
  <c r="BP61" i="3"/>
  <c r="BT61" i="3"/>
  <c r="BX61" i="3"/>
  <c r="CB61" i="3"/>
  <c r="CF61" i="3"/>
  <c r="CJ61" i="3"/>
  <c r="CN61" i="3"/>
  <c r="Q62" i="3"/>
  <c r="U62" i="3"/>
  <c r="Y62" i="3"/>
  <c r="AC62" i="3"/>
  <c r="AG62" i="3"/>
  <c r="AK62" i="3"/>
  <c r="AO62" i="3"/>
  <c r="AS62" i="3"/>
  <c r="AW62" i="3"/>
  <c r="BA62" i="3"/>
  <c r="BE62" i="3"/>
  <c r="BI62" i="3"/>
  <c r="BM62" i="3"/>
  <c r="BQ62" i="3"/>
  <c r="BU62" i="3"/>
  <c r="BY62" i="3"/>
  <c r="CC62" i="3"/>
  <c r="CG62" i="3"/>
  <c r="CK62" i="3"/>
  <c r="N63" i="3"/>
  <c r="R63" i="3"/>
  <c r="V63" i="3"/>
  <c r="Z63" i="3"/>
  <c r="AD63" i="3"/>
  <c r="AH63" i="3"/>
  <c r="AL63" i="3"/>
  <c r="AP63" i="3"/>
  <c r="AT63" i="3"/>
  <c r="AX63" i="3"/>
  <c r="BB63" i="3"/>
  <c r="BF63" i="3"/>
  <c r="BJ63" i="3"/>
  <c r="BN63" i="3"/>
  <c r="BR63" i="3"/>
  <c r="BV63" i="3"/>
  <c r="BZ63" i="3"/>
  <c r="CD63" i="3"/>
  <c r="CH63" i="3"/>
  <c r="CL63" i="3"/>
  <c r="O64" i="3"/>
  <c r="S64" i="3"/>
  <c r="W64" i="3"/>
  <c r="AA64" i="3"/>
  <c r="AE64" i="3"/>
  <c r="AI64" i="3"/>
  <c r="AM64" i="3"/>
  <c r="AQ64" i="3"/>
  <c r="AU64" i="3"/>
  <c r="AY64" i="3"/>
  <c r="BC64" i="3"/>
  <c r="BG64" i="3"/>
  <c r="BK64" i="3"/>
  <c r="BO64" i="3"/>
  <c r="BS64" i="3"/>
  <c r="BW64" i="3"/>
  <c r="CA64" i="3"/>
  <c r="CE64" i="3"/>
  <c r="CI64" i="3"/>
  <c r="CM64" i="3"/>
  <c r="P65" i="3"/>
  <c r="T65" i="3"/>
  <c r="X65" i="3"/>
  <c r="AB65" i="3"/>
  <c r="AF65" i="3"/>
  <c r="AJ65" i="3"/>
  <c r="AN65" i="3"/>
  <c r="AR65" i="3"/>
  <c r="AV65" i="3"/>
  <c r="AZ65" i="3"/>
  <c r="BD65" i="3"/>
  <c r="BH65" i="3"/>
  <c r="BL65" i="3"/>
  <c r="BP65" i="3"/>
  <c r="BT65" i="3"/>
  <c r="BX65" i="3"/>
  <c r="CB65" i="3"/>
  <c r="CF65" i="3"/>
  <c r="CJ65" i="3"/>
  <c r="CN65" i="3"/>
  <c r="Q66" i="3"/>
  <c r="U66" i="3"/>
  <c r="Y66" i="3"/>
  <c r="AC66" i="3"/>
  <c r="AG66" i="3"/>
  <c r="AK66" i="3"/>
  <c r="AO66" i="3"/>
  <c r="AS66" i="3"/>
  <c r="AW66" i="3"/>
  <c r="BA66" i="3"/>
  <c r="BE66" i="3"/>
  <c r="BI66" i="3"/>
  <c r="BM66" i="3"/>
  <c r="BQ66" i="3"/>
  <c r="BU66" i="3"/>
  <c r="BY66" i="3"/>
  <c r="CC66" i="3"/>
  <c r="CG66" i="3"/>
  <c r="CK66" i="3"/>
  <c r="N67" i="3"/>
  <c r="R67" i="3"/>
  <c r="V67" i="3"/>
  <c r="Z67" i="3"/>
  <c r="AD67" i="3"/>
  <c r="AH67" i="3"/>
  <c r="AL67" i="3"/>
  <c r="AP67" i="3"/>
  <c r="AT67" i="3"/>
  <c r="AX67" i="3"/>
  <c r="BB67" i="3"/>
  <c r="BF67" i="3"/>
  <c r="BJ67" i="3"/>
  <c r="BN67" i="3"/>
  <c r="BR67" i="3"/>
  <c r="BV67" i="3"/>
  <c r="BZ67" i="3"/>
  <c r="CD67" i="3"/>
  <c r="CH67" i="3"/>
  <c r="CL67" i="3"/>
  <c r="O68" i="3"/>
  <c r="S68" i="3"/>
  <c r="W68" i="3"/>
  <c r="AA68" i="3"/>
  <c r="AE68" i="3"/>
  <c r="AI68" i="3"/>
  <c r="AM68" i="3"/>
  <c r="AQ68" i="3"/>
  <c r="AU68" i="3"/>
  <c r="AY68" i="3"/>
  <c r="BC68" i="3"/>
  <c r="BG68" i="3"/>
  <c r="BK68" i="3"/>
  <c r="BO68" i="3"/>
  <c r="BS68" i="3"/>
  <c r="BW68" i="3"/>
  <c r="CA68" i="3"/>
  <c r="CE68" i="3"/>
  <c r="CI68" i="3"/>
  <c r="CM68" i="3"/>
  <c r="P69" i="3"/>
  <c r="T69" i="3"/>
  <c r="X69" i="3"/>
  <c r="AB69" i="3"/>
  <c r="AF69" i="3"/>
  <c r="AJ69" i="3"/>
  <c r="AN69" i="3"/>
  <c r="AR69" i="3"/>
  <c r="AV69" i="3"/>
  <c r="AZ69" i="3"/>
  <c r="BD69" i="3"/>
  <c r="BH69" i="3"/>
  <c r="BL69" i="3"/>
  <c r="BP69" i="3"/>
  <c r="BT69" i="3"/>
  <c r="BX69" i="3"/>
  <c r="CB69" i="3"/>
  <c r="CF69" i="3"/>
  <c r="CJ69" i="3"/>
  <c r="CN69" i="3"/>
  <c r="Q70" i="3"/>
  <c r="U70" i="3"/>
  <c r="Y70" i="3"/>
  <c r="AC70" i="3"/>
  <c r="AG70" i="3"/>
  <c r="AK70" i="3"/>
  <c r="AO70" i="3"/>
  <c r="CE70" i="3"/>
  <c r="CI70" i="3"/>
  <c r="CM70" i="3"/>
  <c r="P71" i="3"/>
  <c r="T71" i="3"/>
  <c r="X71" i="3"/>
  <c r="AB71" i="3"/>
  <c r="AF71" i="3"/>
  <c r="AJ71" i="3"/>
  <c r="AN71" i="3"/>
  <c r="AR71" i="3"/>
  <c r="AV71" i="3"/>
  <c r="AZ71" i="3"/>
  <c r="BD71" i="3"/>
  <c r="BH71" i="3"/>
  <c r="BL71" i="3"/>
  <c r="BP71" i="3"/>
  <c r="BT71" i="3"/>
  <c r="BX71" i="3"/>
  <c r="CB71" i="3"/>
  <c r="CF71" i="3"/>
  <c r="CJ71" i="3"/>
  <c r="CN71" i="3"/>
  <c r="Q72" i="3"/>
  <c r="U72" i="3"/>
  <c r="Y72" i="3"/>
  <c r="AC72" i="3"/>
  <c r="AG72" i="3"/>
  <c r="AK72" i="3"/>
  <c r="AO72" i="3"/>
  <c r="AS72" i="3"/>
  <c r="AW72" i="3"/>
  <c r="BA72" i="3"/>
  <c r="BE72" i="3"/>
  <c r="BI72" i="3"/>
  <c r="BM72" i="3"/>
  <c r="BQ72" i="3"/>
  <c r="BU72" i="3"/>
  <c r="BY72" i="3"/>
  <c r="CC72" i="3"/>
  <c r="CG72" i="3"/>
  <c r="CK72" i="3"/>
  <c r="N73" i="3"/>
  <c r="R73" i="3"/>
  <c r="V73" i="3"/>
  <c r="Z73" i="3"/>
  <c r="AD73" i="3"/>
  <c r="AH73" i="3"/>
  <c r="AL73" i="3"/>
  <c r="AP73" i="3"/>
  <c r="AT73" i="3"/>
  <c r="AX73" i="3"/>
  <c r="BB73" i="3"/>
  <c r="BF73" i="3"/>
  <c r="BJ73" i="3"/>
  <c r="BN73" i="3"/>
  <c r="BR73" i="3"/>
  <c r="BV73" i="3"/>
  <c r="BZ73" i="3"/>
  <c r="CD73" i="3"/>
  <c r="CH73" i="3"/>
  <c r="CL73" i="3"/>
  <c r="O74" i="3"/>
  <c r="S74" i="3"/>
  <c r="W74" i="3"/>
  <c r="AA74" i="3"/>
  <c r="AE74" i="3"/>
  <c r="AI74" i="3"/>
  <c r="AM74" i="3"/>
  <c r="AQ74" i="3"/>
  <c r="AU74" i="3"/>
  <c r="AY74" i="3"/>
  <c r="BC74" i="3"/>
  <c r="BG74" i="3"/>
  <c r="BK74" i="3"/>
  <c r="BO74" i="3"/>
  <c r="BS74" i="3"/>
  <c r="BW74" i="3"/>
  <c r="CA74" i="3"/>
  <c r="CE74" i="3"/>
  <c r="CI74" i="3"/>
  <c r="CM74" i="3"/>
  <c r="P75" i="3"/>
  <c r="T75" i="3"/>
  <c r="X75" i="3"/>
  <c r="AB75" i="3"/>
  <c r="AF75" i="3"/>
  <c r="AJ75" i="3"/>
  <c r="AN75" i="3"/>
  <c r="AR75" i="3"/>
  <c r="AV75" i="3"/>
  <c r="AZ75" i="3"/>
  <c r="BD75" i="3"/>
  <c r="BH75" i="3"/>
  <c r="BL75" i="3"/>
  <c r="BP75" i="3"/>
  <c r="BT75" i="3"/>
  <c r="BX75" i="3"/>
  <c r="CB75" i="3"/>
  <c r="CF75" i="3"/>
  <c r="CJ75" i="3"/>
  <c r="CN75" i="3"/>
  <c r="Q76" i="3"/>
  <c r="U76" i="3"/>
  <c r="Y76" i="3"/>
  <c r="AC76" i="3"/>
  <c r="AG76" i="3"/>
  <c r="AK76" i="3"/>
  <c r="AO76" i="3"/>
  <c r="AS76" i="3"/>
  <c r="AW76" i="3"/>
  <c r="BA76" i="3"/>
  <c r="BE76" i="3"/>
  <c r="BI76" i="3"/>
  <c r="BM76" i="3"/>
  <c r="BQ76" i="3"/>
  <c r="BU76" i="3"/>
  <c r="BY76" i="3"/>
  <c r="CC76" i="3"/>
  <c r="CG76" i="3"/>
  <c r="CK76" i="3"/>
  <c r="N77" i="3"/>
  <c r="R77" i="3"/>
  <c r="V77" i="3"/>
  <c r="Z77" i="3"/>
  <c r="AD77" i="3"/>
  <c r="AH77" i="3"/>
  <c r="AL77" i="3"/>
  <c r="AP77" i="3"/>
  <c r="AT77" i="3"/>
  <c r="AX77" i="3"/>
  <c r="BB77" i="3"/>
  <c r="BF77" i="3"/>
  <c r="BJ77" i="3"/>
  <c r="BN77" i="3"/>
  <c r="BR77" i="3"/>
  <c r="BV77" i="3"/>
  <c r="BZ77" i="3"/>
  <c r="CD77" i="3"/>
  <c r="CH77" i="3"/>
  <c r="CL77" i="3"/>
  <c r="O78" i="3"/>
  <c r="S78" i="3"/>
  <c r="W78" i="3"/>
  <c r="AA78" i="3"/>
  <c r="AE78" i="3"/>
  <c r="AI78" i="3"/>
  <c r="AM78" i="3"/>
  <c r="AQ78" i="3"/>
  <c r="AU78" i="3"/>
  <c r="AY78" i="3"/>
  <c r="BC78" i="3"/>
  <c r="BG78" i="3"/>
  <c r="BK78" i="3"/>
  <c r="BO78" i="3"/>
  <c r="BS78" i="3"/>
  <c r="BW78" i="3"/>
  <c r="CA78" i="3"/>
  <c r="CE78" i="3"/>
  <c r="CI78" i="3"/>
  <c r="CM78" i="3"/>
  <c r="P79" i="3"/>
  <c r="T79" i="3"/>
  <c r="X79" i="3"/>
  <c r="AB79" i="3"/>
  <c r="AF79" i="3"/>
  <c r="AJ79" i="3"/>
  <c r="AN79" i="3"/>
  <c r="AR79" i="3"/>
  <c r="AV79" i="3"/>
  <c r="AZ79" i="3"/>
  <c r="BD79" i="3"/>
  <c r="BH79" i="3"/>
  <c r="BL79" i="3"/>
  <c r="BP79" i="3"/>
  <c r="BT79" i="3"/>
  <c r="BX79" i="3"/>
  <c r="CB79" i="3"/>
  <c r="CF79" i="3"/>
  <c r="CJ79" i="3"/>
  <c r="CN79" i="3"/>
  <c r="Q80" i="3"/>
  <c r="U80" i="3"/>
  <c r="Y80" i="3"/>
  <c r="AC80" i="3"/>
  <c r="AG80" i="3"/>
  <c r="AK80" i="3"/>
  <c r="AO80" i="3"/>
  <c r="AS80" i="3"/>
  <c r="AW80" i="3"/>
  <c r="BA80" i="3"/>
  <c r="BE80" i="3"/>
  <c r="BI80" i="3"/>
  <c r="BM80" i="3"/>
  <c r="BQ80" i="3"/>
  <c r="BU80" i="3"/>
  <c r="BY80" i="3"/>
  <c r="CC80" i="3"/>
  <c r="CG80" i="3"/>
  <c r="CK80" i="3"/>
  <c r="N81" i="3"/>
  <c r="R81" i="3"/>
  <c r="V81" i="3"/>
  <c r="Z81" i="3"/>
  <c r="AD81" i="3"/>
  <c r="AH81" i="3"/>
  <c r="AL81" i="3"/>
  <c r="AP81" i="3"/>
  <c r="AT81" i="3"/>
  <c r="AX81" i="3"/>
  <c r="BB81" i="3"/>
  <c r="BF81" i="3"/>
  <c r="BJ81" i="3"/>
  <c r="BN81" i="3"/>
  <c r="BR81" i="3"/>
  <c r="BV81" i="3"/>
  <c r="BZ81" i="3"/>
  <c r="CD81" i="3"/>
  <c r="CH81" i="3"/>
  <c r="CL81" i="3"/>
  <c r="O82" i="3"/>
  <c r="S82" i="3"/>
  <c r="W82" i="3"/>
  <c r="AA82" i="3"/>
  <c r="AE82" i="3"/>
  <c r="AI82" i="3"/>
  <c r="AM82" i="3"/>
  <c r="AQ82" i="3"/>
  <c r="AU82" i="3"/>
  <c r="AY82" i="3"/>
  <c r="BC82" i="3"/>
  <c r="BG82" i="3"/>
  <c r="BK82" i="3"/>
  <c r="BO82" i="3"/>
  <c r="BS82" i="3"/>
  <c r="BW82" i="3"/>
  <c r="CA82" i="3"/>
  <c r="CE82" i="3"/>
  <c r="CI82" i="3"/>
  <c r="CM82" i="3"/>
  <c r="P83" i="3"/>
  <c r="T83" i="3"/>
  <c r="X83" i="3"/>
  <c r="AB83" i="3"/>
  <c r="AF83" i="3"/>
  <c r="AJ83" i="3"/>
  <c r="AN83" i="3"/>
  <c r="AR83" i="3"/>
  <c r="AV83" i="3"/>
  <c r="AZ83" i="3"/>
  <c r="BD83" i="3"/>
  <c r="BH83" i="3"/>
  <c r="BL83" i="3"/>
  <c r="BP83" i="3"/>
  <c r="BT83" i="3"/>
  <c r="BX83" i="3"/>
  <c r="CB83" i="3"/>
  <c r="CF83" i="3"/>
  <c r="CJ83" i="3"/>
  <c r="CN83" i="3"/>
  <c r="Q84" i="3"/>
  <c r="U84" i="3"/>
  <c r="Y84" i="3"/>
  <c r="AC84" i="3"/>
  <c r="AG84" i="3"/>
  <c r="AK84" i="3"/>
  <c r="AO84" i="3"/>
  <c r="AS84" i="3"/>
  <c r="CB70" i="3"/>
  <c r="CF70" i="3"/>
  <c r="CJ70" i="3"/>
  <c r="CN70" i="3"/>
  <c r="Q71" i="3"/>
  <c r="U71" i="3"/>
  <c r="Y71" i="3"/>
  <c r="AC71" i="3"/>
  <c r="AG71" i="3"/>
  <c r="AK71" i="3"/>
  <c r="AO71" i="3"/>
  <c r="AS71" i="3"/>
  <c r="AW71" i="3"/>
  <c r="BE71" i="3"/>
  <c r="BI71" i="3"/>
  <c r="BM71" i="3"/>
  <c r="BQ71" i="3"/>
  <c r="BU71" i="3"/>
  <c r="BY71" i="3"/>
  <c r="CC71" i="3"/>
  <c r="CG71" i="3"/>
  <c r="CK71" i="3"/>
  <c r="N72" i="3"/>
  <c r="R72" i="3"/>
  <c r="V72" i="3"/>
  <c r="Z72" i="3"/>
  <c r="AD72" i="3"/>
  <c r="AH72" i="3"/>
  <c r="AL72" i="3"/>
  <c r="AP72" i="3"/>
  <c r="AT72" i="3"/>
  <c r="AX72" i="3"/>
  <c r="BB72" i="3"/>
  <c r="BF72" i="3"/>
  <c r="BJ72" i="3"/>
  <c r="BN72" i="3"/>
  <c r="BR72" i="3"/>
  <c r="BV72" i="3"/>
  <c r="BZ72" i="3"/>
  <c r="CD72" i="3"/>
  <c r="CH72" i="3"/>
  <c r="CL72" i="3"/>
  <c r="O73" i="3"/>
  <c r="S73" i="3"/>
  <c r="W73" i="3"/>
  <c r="AA73" i="3"/>
  <c r="AE73" i="3"/>
  <c r="AI73" i="3"/>
  <c r="AM73" i="3"/>
  <c r="AQ73" i="3"/>
  <c r="AU73" i="3"/>
  <c r="AY73" i="3"/>
  <c r="BC73" i="3"/>
  <c r="BG73" i="3"/>
  <c r="BK73" i="3"/>
  <c r="BO73" i="3"/>
  <c r="BS73" i="3"/>
  <c r="BW73" i="3"/>
  <c r="CA73" i="3"/>
  <c r="CE73" i="3"/>
  <c r="CI73" i="3"/>
  <c r="CM73" i="3"/>
  <c r="P74" i="3"/>
  <c r="T74" i="3"/>
  <c r="X74" i="3"/>
  <c r="AB74" i="3"/>
  <c r="AF74" i="3"/>
  <c r="AJ74" i="3"/>
  <c r="AN74" i="3"/>
  <c r="AR74" i="3"/>
  <c r="AV74" i="3"/>
  <c r="AZ74" i="3"/>
  <c r="BD74" i="3"/>
  <c r="BH74" i="3"/>
  <c r="BL74" i="3"/>
  <c r="BP74" i="3"/>
  <c r="BT74" i="3"/>
  <c r="BX74" i="3"/>
  <c r="CB74" i="3"/>
  <c r="CF74" i="3"/>
  <c r="CJ74" i="3"/>
  <c r="CN74" i="3"/>
  <c r="Q75" i="3"/>
  <c r="U75" i="3"/>
  <c r="Y75" i="3"/>
  <c r="AC75" i="3"/>
  <c r="AG75" i="3"/>
  <c r="AK75" i="3"/>
  <c r="AO75" i="3"/>
  <c r="AS75" i="3"/>
  <c r="AW75" i="3"/>
  <c r="BA75" i="3"/>
  <c r="BE75" i="3"/>
  <c r="BI75" i="3"/>
  <c r="BM75" i="3"/>
  <c r="BQ75" i="3"/>
  <c r="BU75" i="3"/>
  <c r="BY75" i="3"/>
  <c r="CC75" i="3"/>
  <c r="CG75" i="3"/>
  <c r="CK75" i="3"/>
  <c r="N76" i="3"/>
  <c r="R76" i="3"/>
  <c r="V76" i="3"/>
  <c r="Z76" i="3"/>
  <c r="AD76" i="3"/>
  <c r="AH76" i="3"/>
  <c r="AL76" i="3"/>
  <c r="AP76" i="3"/>
  <c r="AT76" i="3"/>
  <c r="AX76" i="3"/>
  <c r="BB76" i="3"/>
  <c r="BF76" i="3"/>
  <c r="BJ76" i="3"/>
  <c r="BN76" i="3"/>
  <c r="BR76" i="3"/>
  <c r="BV76" i="3"/>
  <c r="BZ76" i="3"/>
  <c r="CD76" i="3"/>
  <c r="CH76" i="3"/>
  <c r="CL76" i="3"/>
  <c r="O77" i="3"/>
  <c r="S77" i="3"/>
  <c r="W77" i="3"/>
  <c r="AA77" i="3"/>
  <c r="AE77" i="3"/>
  <c r="AI77" i="3"/>
  <c r="AM77" i="3"/>
  <c r="AQ77" i="3"/>
  <c r="AU77" i="3"/>
  <c r="AY77" i="3"/>
  <c r="BC77" i="3"/>
  <c r="BG77" i="3"/>
  <c r="BK77" i="3"/>
  <c r="BO77" i="3"/>
  <c r="BS77" i="3"/>
  <c r="BW77" i="3"/>
  <c r="CA77" i="3"/>
  <c r="CE77" i="3"/>
  <c r="CI77" i="3"/>
  <c r="CM77" i="3"/>
  <c r="P78" i="3"/>
  <c r="T78" i="3"/>
  <c r="X78" i="3"/>
  <c r="AB78" i="3"/>
  <c r="AF78" i="3"/>
  <c r="AJ78" i="3"/>
  <c r="AN78" i="3"/>
  <c r="AR78" i="3"/>
  <c r="AV78" i="3"/>
  <c r="AZ78" i="3"/>
  <c r="BD78" i="3"/>
  <c r="BH78" i="3"/>
  <c r="BL78" i="3"/>
  <c r="BP78" i="3"/>
  <c r="BT78" i="3"/>
  <c r="BX78" i="3"/>
  <c r="CB78" i="3"/>
  <c r="CF78" i="3"/>
  <c r="CJ78" i="3"/>
  <c r="CN78" i="3"/>
  <c r="Q79" i="3"/>
  <c r="U79" i="3"/>
  <c r="Y79" i="3"/>
  <c r="AC79" i="3"/>
  <c r="AG79" i="3"/>
  <c r="AK79" i="3"/>
  <c r="AO79" i="3"/>
  <c r="AS79" i="3"/>
  <c r="AW79" i="3"/>
  <c r="BA79" i="3"/>
  <c r="BE79" i="3"/>
  <c r="BI79" i="3"/>
  <c r="BM79" i="3"/>
  <c r="BQ79" i="3"/>
  <c r="BU79" i="3"/>
  <c r="BY79" i="3"/>
  <c r="CC79" i="3"/>
  <c r="CG79" i="3"/>
  <c r="CK79" i="3"/>
  <c r="N80" i="3"/>
  <c r="R80" i="3"/>
  <c r="V80" i="3"/>
  <c r="Z80" i="3"/>
  <c r="AD80" i="3"/>
  <c r="AH80" i="3"/>
  <c r="AL80" i="3"/>
  <c r="AP80" i="3"/>
  <c r="AT80" i="3"/>
  <c r="AX80" i="3"/>
  <c r="BB80" i="3"/>
  <c r="BF80" i="3"/>
  <c r="BN80" i="3"/>
  <c r="BR80" i="3"/>
  <c r="BV80" i="3"/>
  <c r="BZ80" i="3"/>
  <c r="CD80" i="3"/>
  <c r="CH80" i="3"/>
  <c r="CL80" i="3"/>
  <c r="O81" i="3"/>
  <c r="S81" i="3"/>
  <c r="W81" i="3"/>
  <c r="AA81" i="3"/>
  <c r="AE81" i="3"/>
  <c r="AI81" i="3"/>
  <c r="AM81" i="3"/>
  <c r="AQ81" i="3"/>
  <c r="AU81" i="3"/>
  <c r="AY81" i="3"/>
  <c r="BC81" i="3"/>
  <c r="BG81" i="3"/>
  <c r="BK81" i="3"/>
  <c r="BO81" i="3"/>
  <c r="BS81" i="3"/>
  <c r="BW81" i="3"/>
  <c r="CA81" i="3"/>
  <c r="CE81" i="3"/>
  <c r="CI81" i="3"/>
  <c r="CM81" i="3"/>
  <c r="P82" i="3"/>
  <c r="T82" i="3"/>
  <c r="X82" i="3"/>
  <c r="AB82" i="3"/>
  <c r="AF82" i="3"/>
  <c r="AJ82" i="3"/>
  <c r="AN82" i="3"/>
  <c r="AR82" i="3"/>
  <c r="AV82" i="3"/>
  <c r="AZ82" i="3"/>
  <c r="BD82" i="3"/>
  <c r="BH82" i="3"/>
  <c r="BL82" i="3"/>
  <c r="BP82" i="3"/>
  <c r="BT82" i="3"/>
  <c r="BX82" i="3"/>
  <c r="CB82" i="3"/>
  <c r="CF82" i="3"/>
  <c r="CJ82" i="3"/>
  <c r="CN82" i="3"/>
  <c r="Q83" i="3"/>
  <c r="U83" i="3"/>
  <c r="Y83" i="3"/>
  <c r="AC83" i="3"/>
  <c r="AG83" i="3"/>
  <c r="AK83" i="3"/>
  <c r="AO83" i="3"/>
  <c r="AS83" i="3"/>
  <c r="AW83" i="3"/>
  <c r="BA83" i="3"/>
  <c r="BE83" i="3"/>
  <c r="BI83" i="3"/>
  <c r="BM83" i="3"/>
  <c r="BQ83" i="3"/>
  <c r="BU83" i="3"/>
  <c r="BY83" i="3"/>
  <c r="AS70" i="3"/>
  <c r="AW70" i="3"/>
  <c r="BA70" i="3"/>
  <c r="BE70" i="3"/>
  <c r="BI70" i="3"/>
  <c r="BM70" i="3"/>
  <c r="BQ70" i="3"/>
  <c r="BU70" i="3"/>
  <c r="BY70" i="3"/>
  <c r="CC70" i="3"/>
  <c r="CG70" i="3"/>
  <c r="CK70" i="3"/>
  <c r="N71" i="3"/>
  <c r="R71" i="3"/>
  <c r="V71" i="3"/>
  <c r="Z71" i="3"/>
  <c r="AD71" i="3"/>
  <c r="AH71" i="3"/>
  <c r="AL71" i="3"/>
  <c r="AP71" i="3"/>
  <c r="AT71" i="3"/>
  <c r="AX71" i="3"/>
  <c r="BB71" i="3"/>
  <c r="BF71" i="3"/>
  <c r="BJ71" i="3"/>
  <c r="BN71" i="3"/>
  <c r="BR71" i="3"/>
  <c r="BV71" i="3"/>
  <c r="BZ71" i="3"/>
  <c r="CD71" i="3"/>
  <c r="CH71" i="3"/>
  <c r="CL71" i="3"/>
  <c r="O72" i="3"/>
  <c r="S72" i="3"/>
  <c r="W72" i="3"/>
  <c r="AA72" i="3"/>
  <c r="AE72" i="3"/>
  <c r="AI72" i="3"/>
  <c r="AM72" i="3"/>
  <c r="AQ72" i="3"/>
  <c r="AU72" i="3"/>
  <c r="AY72" i="3"/>
  <c r="BC72" i="3"/>
  <c r="BG72" i="3"/>
  <c r="BK72" i="3"/>
  <c r="BO72" i="3"/>
  <c r="BS72" i="3"/>
  <c r="BW72" i="3"/>
  <c r="CA72" i="3"/>
  <c r="CE72" i="3"/>
  <c r="CI72" i="3"/>
  <c r="CM72" i="3"/>
  <c r="P73" i="3"/>
  <c r="T73" i="3"/>
  <c r="X73" i="3"/>
  <c r="AB73" i="3"/>
  <c r="AF73" i="3"/>
  <c r="AJ73" i="3"/>
  <c r="AN73" i="3"/>
  <c r="AR73" i="3"/>
  <c r="AV73" i="3"/>
  <c r="AZ73" i="3"/>
  <c r="BD73" i="3"/>
  <c r="BH73" i="3"/>
  <c r="BL73" i="3"/>
  <c r="BP73" i="3"/>
  <c r="BT73" i="3"/>
  <c r="BX73" i="3"/>
  <c r="CB73" i="3"/>
  <c r="CF73" i="3"/>
  <c r="CJ73" i="3"/>
  <c r="CN73" i="3"/>
  <c r="Q74" i="3"/>
  <c r="U74" i="3"/>
  <c r="Y74" i="3"/>
  <c r="AC74" i="3"/>
  <c r="AG74" i="3"/>
  <c r="AK74" i="3"/>
  <c r="AO74" i="3"/>
  <c r="AS74" i="3"/>
  <c r="AW74" i="3"/>
  <c r="BA74" i="3"/>
  <c r="BE74" i="3"/>
  <c r="BI74" i="3"/>
  <c r="BM74" i="3"/>
  <c r="BQ74" i="3"/>
  <c r="BU74" i="3"/>
  <c r="BY74" i="3"/>
  <c r="CC74" i="3"/>
  <c r="CG74" i="3"/>
  <c r="CK74" i="3"/>
  <c r="N75" i="3"/>
  <c r="R75" i="3"/>
  <c r="V75" i="3"/>
  <c r="Z75" i="3"/>
  <c r="AD75" i="3"/>
  <c r="AH75" i="3"/>
  <c r="AL75" i="3"/>
  <c r="AP75" i="3"/>
  <c r="AT75" i="3"/>
  <c r="AX75" i="3"/>
  <c r="BB75" i="3"/>
  <c r="BF75" i="3"/>
  <c r="BJ75" i="3"/>
  <c r="BN75" i="3"/>
  <c r="BR75" i="3"/>
  <c r="BV75" i="3"/>
  <c r="BZ75" i="3"/>
  <c r="CD75" i="3"/>
  <c r="CH75" i="3"/>
  <c r="CL75" i="3"/>
  <c r="O76" i="3"/>
  <c r="S76" i="3"/>
  <c r="W76" i="3"/>
  <c r="AA76" i="3"/>
  <c r="AE76" i="3"/>
  <c r="AI76" i="3"/>
  <c r="AM76" i="3"/>
  <c r="AQ76" i="3"/>
  <c r="AU76" i="3"/>
  <c r="AY76" i="3"/>
  <c r="BC76" i="3"/>
  <c r="BG76" i="3"/>
  <c r="BK76" i="3"/>
  <c r="BO76" i="3"/>
  <c r="BS76" i="3"/>
  <c r="BW76" i="3"/>
  <c r="CA76" i="3"/>
  <c r="CE76" i="3"/>
  <c r="CI76" i="3"/>
  <c r="CM76" i="3"/>
  <c r="P77" i="3"/>
  <c r="T77" i="3"/>
  <c r="X77" i="3"/>
  <c r="AB77" i="3"/>
  <c r="AF77" i="3"/>
  <c r="AJ77" i="3"/>
  <c r="AN77" i="3"/>
  <c r="AR77" i="3"/>
  <c r="AV77" i="3"/>
  <c r="AZ77" i="3"/>
  <c r="BD77" i="3"/>
  <c r="BH77" i="3"/>
  <c r="BL77" i="3"/>
  <c r="BP77" i="3"/>
  <c r="BT77" i="3"/>
  <c r="BX77" i="3"/>
  <c r="CB77" i="3"/>
  <c r="CF77" i="3"/>
  <c r="CJ77" i="3"/>
  <c r="CN77" i="3"/>
  <c r="Q78" i="3"/>
  <c r="U78" i="3"/>
  <c r="Y78" i="3"/>
  <c r="AC78" i="3"/>
  <c r="AG78" i="3"/>
  <c r="AK78" i="3"/>
  <c r="AO78" i="3"/>
  <c r="AS78" i="3"/>
  <c r="AW78" i="3"/>
  <c r="BA78" i="3"/>
  <c r="BE78" i="3"/>
  <c r="BI78" i="3"/>
  <c r="BM78" i="3"/>
  <c r="BQ78" i="3"/>
  <c r="BU78" i="3"/>
  <c r="BY78" i="3"/>
  <c r="CC78" i="3"/>
  <c r="CG78" i="3"/>
  <c r="CK78" i="3"/>
  <c r="N79" i="3"/>
  <c r="R79" i="3"/>
  <c r="V79" i="3"/>
  <c r="Z79" i="3"/>
  <c r="AD79" i="3"/>
  <c r="AH79" i="3"/>
  <c r="AL79" i="3"/>
  <c r="AP79" i="3"/>
  <c r="AT79" i="3"/>
  <c r="AX79" i="3"/>
  <c r="BB79" i="3"/>
  <c r="BF79" i="3"/>
  <c r="BJ79" i="3"/>
  <c r="BN79" i="3"/>
  <c r="BR79" i="3"/>
  <c r="BV79" i="3"/>
  <c r="BZ79" i="3"/>
  <c r="CD79" i="3"/>
  <c r="CH79" i="3"/>
  <c r="CL79" i="3"/>
  <c r="O80" i="3"/>
  <c r="S80" i="3"/>
  <c r="W80" i="3"/>
  <c r="AA80" i="3"/>
  <c r="AE80" i="3"/>
  <c r="AI80" i="3"/>
  <c r="AM80" i="3"/>
  <c r="AQ80" i="3"/>
  <c r="AU80" i="3"/>
  <c r="AY80" i="3"/>
  <c r="BC80" i="3"/>
  <c r="BG80" i="3"/>
  <c r="BK80" i="3"/>
  <c r="BO80" i="3"/>
  <c r="BS80" i="3"/>
  <c r="BW80" i="3"/>
  <c r="CA80" i="3"/>
  <c r="CE80" i="3"/>
  <c r="CI80" i="3"/>
  <c r="CM80" i="3"/>
  <c r="P81" i="3"/>
  <c r="T81" i="3"/>
  <c r="X81" i="3"/>
  <c r="AB81" i="3"/>
  <c r="AF81" i="3"/>
  <c r="AJ81" i="3"/>
  <c r="AN81" i="3"/>
  <c r="AR81" i="3"/>
  <c r="AV81" i="3"/>
  <c r="AZ81" i="3"/>
  <c r="BD81" i="3"/>
  <c r="BH81" i="3"/>
  <c r="BL81" i="3"/>
  <c r="BP81" i="3"/>
  <c r="BT81" i="3"/>
  <c r="BX81" i="3"/>
  <c r="CB81" i="3"/>
  <c r="CF81" i="3"/>
  <c r="CJ81" i="3"/>
  <c r="CN81" i="3"/>
  <c r="Q82" i="3"/>
  <c r="U82" i="3"/>
  <c r="Y82" i="3"/>
  <c r="AC82" i="3"/>
  <c r="AG82" i="3"/>
  <c r="AK82" i="3"/>
  <c r="AO82" i="3"/>
  <c r="AS82" i="3"/>
  <c r="AW82" i="3"/>
  <c r="BA82" i="3"/>
  <c r="BE82" i="3"/>
  <c r="BI82" i="3"/>
  <c r="BM82" i="3"/>
  <c r="BQ82" i="3"/>
  <c r="BU82" i="3"/>
  <c r="BY82" i="3"/>
  <c r="CC82" i="3"/>
  <c r="CG82" i="3"/>
  <c r="CK82" i="3"/>
  <c r="N83" i="3"/>
  <c r="R83" i="3"/>
  <c r="V83" i="3"/>
  <c r="Z83" i="3"/>
  <c r="AD83" i="3"/>
  <c r="AH83" i="3"/>
  <c r="AL83" i="3"/>
  <c r="AP83" i="3"/>
  <c r="AT83" i="3"/>
  <c r="AX83" i="3"/>
  <c r="BB83" i="3"/>
  <c r="BF83" i="3"/>
  <c r="BJ83" i="3"/>
  <c r="BN83" i="3"/>
  <c r="BR83" i="3"/>
  <c r="BV83" i="3"/>
  <c r="BZ83" i="3"/>
  <c r="CD83" i="3"/>
  <c r="CH83" i="3"/>
  <c r="CL83" i="3"/>
  <c r="O84" i="3"/>
  <c r="S84" i="3"/>
  <c r="W84" i="3"/>
  <c r="AA84" i="3"/>
  <c r="AE84" i="3"/>
  <c r="AI84" i="3"/>
  <c r="AM84" i="3"/>
  <c r="AQ84" i="3"/>
  <c r="AU84" i="3"/>
  <c r="AY84" i="3"/>
  <c r="BC84" i="3"/>
  <c r="BG84" i="3"/>
  <c r="BK84" i="3"/>
  <c r="BO84" i="3"/>
  <c r="BS84" i="3"/>
  <c r="BW84" i="3"/>
  <c r="CA84" i="3"/>
  <c r="CE84" i="3"/>
  <c r="CI84" i="3"/>
  <c r="CM84" i="3"/>
  <c r="CE83" i="3"/>
  <c r="CI83" i="3"/>
  <c r="CM83" i="3"/>
  <c r="P84" i="3"/>
  <c r="T84" i="3"/>
  <c r="X84" i="3"/>
  <c r="AB84" i="3"/>
  <c r="AF84" i="3"/>
  <c r="AJ84" i="3"/>
  <c r="AN84" i="3"/>
  <c r="AV84" i="3"/>
  <c r="AZ84" i="3"/>
  <c r="BD84" i="3"/>
  <c r="BH84" i="3"/>
  <c r="BL84" i="3"/>
  <c r="BP84" i="3"/>
  <c r="BT84" i="3"/>
  <c r="BX84" i="3"/>
  <c r="CB84" i="3"/>
  <c r="CF84" i="3"/>
  <c r="CJ84" i="3"/>
  <c r="CN84" i="3"/>
  <c r="AW84" i="3"/>
  <c r="BA84" i="3"/>
  <c r="BE84" i="3"/>
  <c r="BI84" i="3"/>
  <c r="BM84" i="3"/>
  <c r="BQ84" i="3"/>
  <c r="BU84" i="3"/>
  <c r="BY84" i="3"/>
  <c r="CC84" i="3"/>
  <c r="CG84" i="3"/>
  <c r="CK84" i="3"/>
  <c r="CC83" i="3"/>
  <c r="CG83" i="3"/>
  <c r="CK83" i="3"/>
  <c r="N84" i="3"/>
  <c r="R84" i="3"/>
  <c r="V84" i="3"/>
  <c r="Z84" i="3"/>
  <c r="AD84" i="3"/>
  <c r="AH84" i="3"/>
  <c r="AL84" i="3"/>
  <c r="AP84" i="3"/>
  <c r="AT84" i="3"/>
  <c r="AX84" i="3"/>
  <c r="BB84" i="3"/>
  <c r="BF84" i="3"/>
  <c r="BJ84" i="3"/>
  <c r="BN84" i="3"/>
  <c r="BR84" i="3"/>
  <c r="BV84" i="3"/>
  <c r="BZ84" i="3"/>
  <c r="CD84" i="3"/>
  <c r="CH84" i="3"/>
  <c r="CL84" i="3"/>
  <c r="AE7" i="9"/>
  <c r="AE5" i="9"/>
  <c r="AE6" i="9"/>
  <c r="AE4" i="9"/>
  <c r="AE3" i="9"/>
  <c r="AD7" i="9"/>
  <c r="AD4" i="9"/>
  <c r="AD5" i="9"/>
  <c r="AD6" i="9"/>
  <c r="AD3" i="9"/>
  <c r="AC3" i="9"/>
  <c r="AC7" i="9"/>
  <c r="AC4" i="9"/>
  <c r="AC5" i="9"/>
  <c r="AC6" i="9"/>
  <c r="AB4" i="9"/>
  <c r="AB7" i="9"/>
  <c r="AB5" i="9"/>
  <c r="AB6" i="9"/>
  <c r="AB3" i="9"/>
  <c r="CJ26" i="3"/>
  <c r="CJ58" i="3" s="1"/>
  <c r="CJ26" i="7"/>
  <c r="CJ26" i="8"/>
  <c r="CJ26" i="2"/>
  <c r="CJ26" i="6"/>
  <c r="CI26" i="8"/>
  <c r="CI26" i="6"/>
  <c r="CI26" i="3"/>
  <c r="CI58" i="3" s="1"/>
  <c r="CI26" i="7"/>
  <c r="CH26" i="8"/>
  <c r="CH26" i="2"/>
  <c r="CI26" i="2"/>
  <c r="CH21" i="6"/>
  <c r="CH26" i="6" s="1"/>
  <c r="CH21" i="3"/>
  <c r="CH21" i="8"/>
  <c r="CH26" i="3"/>
  <c r="CH58" i="3" s="1"/>
  <c r="CH26" i="7"/>
  <c r="CG26" i="6"/>
  <c r="CG26" i="3"/>
  <c r="CG58" i="3" s="1"/>
  <c r="CG26" i="7"/>
  <c r="CG26" i="8"/>
  <c r="CG26" i="2"/>
  <c r="AF8" i="9" l="1"/>
  <c r="AE8" i="9"/>
  <c r="AD8" i="9"/>
  <c r="AC8" i="9"/>
  <c r="AB8" i="9"/>
  <c r="AA5" i="9"/>
  <c r="AA4" i="9"/>
  <c r="AA3" i="9"/>
  <c r="AA6" i="9"/>
  <c r="AA7" i="9"/>
  <c r="Z4" i="9"/>
  <c r="Z7" i="9"/>
  <c r="Z5" i="9"/>
  <c r="Z6" i="9"/>
  <c r="Z3" i="9"/>
  <c r="Y5" i="9"/>
  <c r="Y7" i="9"/>
  <c r="Y3" i="9"/>
  <c r="Y6" i="9"/>
  <c r="Y4" i="9"/>
  <c r="CF26" i="3"/>
  <c r="CF58" i="3" s="1"/>
  <c r="CF26" i="7"/>
  <c r="CF26" i="8"/>
  <c r="CF26" i="2"/>
  <c r="CF26" i="6"/>
  <c r="CE26" i="6"/>
  <c r="CE26" i="3"/>
  <c r="CE58" i="3" s="1"/>
  <c r="CE26" i="7"/>
  <c r="CE26" i="8"/>
  <c r="CE26" i="2"/>
  <c r="CD26" i="3"/>
  <c r="CD58" i="3" s="1"/>
  <c r="CD26" i="7"/>
  <c r="CD26" i="8"/>
  <c r="CD26" i="2"/>
  <c r="CD26" i="6"/>
  <c r="AA8" i="9" l="1"/>
  <c r="Z8" i="9"/>
  <c r="Y8" i="9"/>
  <c r="CC26" i="3"/>
  <c r="CC58" i="3" s="1"/>
  <c r="CC26" i="7"/>
  <c r="CC26" i="8"/>
  <c r="CC26" i="2"/>
  <c r="CC26" i="6"/>
  <c r="CB26" i="6"/>
  <c r="CA26" i="6"/>
  <c r="BZ26" i="6"/>
  <c r="CB26" i="3"/>
  <c r="CB58" i="3" s="1"/>
  <c r="CA26" i="3"/>
  <c r="CA58" i="3" s="1"/>
  <c r="BZ26" i="3"/>
  <c r="BZ58" i="3" s="1"/>
  <c r="CB26" i="7"/>
  <c r="CA26" i="7"/>
  <c r="CB26" i="8"/>
  <c r="CA26" i="8"/>
  <c r="BZ26" i="8"/>
  <c r="CB26" i="2"/>
  <c r="CA26" i="2"/>
  <c r="BZ26" i="2"/>
  <c r="BZ26" i="7"/>
  <c r="CM85" i="3" l="1"/>
  <c r="CN85" i="3"/>
  <c r="CL85" i="3"/>
  <c r="BY26" i="6"/>
  <c r="BY26" i="3"/>
  <c r="BY58" i="3" s="1"/>
  <c r="BY26" i="7"/>
  <c r="BY26" i="8"/>
  <c r="BY26" i="2"/>
  <c r="CK85" i="3" l="1"/>
  <c r="BX26" i="3"/>
  <c r="BX58" i="3" s="1"/>
  <c r="BX26" i="7"/>
  <c r="BX26" i="8"/>
  <c r="BX26" i="2"/>
  <c r="BX26" i="6"/>
  <c r="CJ85" i="3" l="1"/>
  <c r="BW26" i="6"/>
  <c r="BW26" i="3"/>
  <c r="BW58" i="3" s="1"/>
  <c r="BW26" i="7"/>
  <c r="BW26" i="8"/>
  <c r="BW26" i="2"/>
  <c r="BV26" i="6"/>
  <c r="BV26" i="3"/>
  <c r="BV58" i="3" s="1"/>
  <c r="BV26" i="7"/>
  <c r="BV26" i="8"/>
  <c r="BV26" i="2"/>
  <c r="CI85" i="3" l="1"/>
  <c r="CH85" i="3"/>
  <c r="BU26" i="6"/>
  <c r="BT26" i="6"/>
  <c r="BU26" i="3"/>
  <c r="BU58" i="3" s="1"/>
  <c r="BT26" i="3"/>
  <c r="BT58" i="3" s="1"/>
  <c r="BU26" i="7"/>
  <c r="BT26" i="7"/>
  <c r="BU26" i="8"/>
  <c r="BT26" i="8"/>
  <c r="BU26" i="2"/>
  <c r="BT26" i="2"/>
  <c r="BS26" i="3"/>
  <c r="BS58" i="3" s="1"/>
  <c r="BS26" i="7"/>
  <c r="BS26" i="8"/>
  <c r="BS26" i="2"/>
  <c r="BS26" i="6"/>
  <c r="BR26" i="2"/>
  <c r="BR26" i="8"/>
  <c r="BR26" i="7"/>
  <c r="BR26" i="3"/>
  <c r="BR58" i="3" s="1"/>
  <c r="BR26" i="6"/>
  <c r="CF85" i="3" l="1"/>
  <c r="CE85" i="3"/>
  <c r="CD85" i="3"/>
  <c r="CG85" i="3"/>
  <c r="BQ26" i="6"/>
  <c r="BQ26" i="3"/>
  <c r="BQ58" i="3" s="1"/>
  <c r="BQ26" i="7"/>
  <c r="BQ26" i="8"/>
  <c r="BQ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P26" i="6"/>
  <c r="BP26" i="3"/>
  <c r="BP58" i="3" s="1"/>
  <c r="BP26" i="7"/>
  <c r="BP26" i="8"/>
  <c r="BO26" i="6"/>
  <c r="BO26" i="3"/>
  <c r="BO58" i="3" s="1"/>
  <c r="BO26" i="7"/>
  <c r="BO26" i="8"/>
  <c r="BN26" i="6"/>
  <c r="BN26" i="3"/>
  <c r="BN58" i="3" s="1"/>
  <c r="BN26" i="7"/>
  <c r="BN26" i="8"/>
  <c r="BM26" i="7"/>
  <c r="BZ85" i="3" l="1"/>
  <c r="CA85" i="3"/>
  <c r="CB85" i="3"/>
  <c r="CC85" i="3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26" i="3"/>
  <c r="B58" i="3" s="1"/>
  <c r="C26" i="3"/>
  <c r="C58" i="3" s="1"/>
  <c r="D26" i="3"/>
  <c r="D58" i="3" s="1"/>
  <c r="E26" i="3"/>
  <c r="E58" i="3" s="1"/>
  <c r="F26" i="3"/>
  <c r="F58" i="3" s="1"/>
  <c r="G26" i="3"/>
  <c r="G58" i="3" s="1"/>
  <c r="H26" i="3"/>
  <c r="H58" i="3" s="1"/>
  <c r="I26" i="3"/>
  <c r="I58" i="3" s="1"/>
  <c r="J26" i="3"/>
  <c r="J58" i="3" s="1"/>
  <c r="K26" i="3"/>
  <c r="K58" i="3" s="1"/>
  <c r="L26" i="3"/>
  <c r="L58" i="3" s="1"/>
  <c r="M26" i="3"/>
  <c r="M58" i="3" s="1"/>
  <c r="N26" i="3"/>
  <c r="N58" i="3" s="1"/>
  <c r="N85" i="3" s="1"/>
  <c r="O26" i="3"/>
  <c r="O58" i="3" s="1"/>
  <c r="O85" i="3" s="1"/>
  <c r="P26" i="3"/>
  <c r="P58" i="3" s="1"/>
  <c r="P85" i="3" s="1"/>
  <c r="Q26" i="3"/>
  <c r="Q58" i="3" s="1"/>
  <c r="Q85" i="3" s="1"/>
  <c r="R26" i="3"/>
  <c r="R58" i="3" s="1"/>
  <c r="R85" i="3" s="1"/>
  <c r="S26" i="3"/>
  <c r="S58" i="3" s="1"/>
  <c r="S85" i="3" s="1"/>
  <c r="T26" i="3"/>
  <c r="T58" i="3" s="1"/>
  <c r="T85" i="3" s="1"/>
  <c r="U26" i="3"/>
  <c r="U58" i="3" s="1"/>
  <c r="U85" i="3" s="1"/>
  <c r="V26" i="3"/>
  <c r="V58" i="3" s="1"/>
  <c r="V85" i="3" s="1"/>
  <c r="W26" i="3"/>
  <c r="W58" i="3" s="1"/>
  <c r="W85" i="3" s="1"/>
  <c r="X26" i="3"/>
  <c r="X58" i="3" s="1"/>
  <c r="X85" i="3" s="1"/>
  <c r="Y26" i="3"/>
  <c r="Y58" i="3" s="1"/>
  <c r="Y85" i="3" s="1"/>
  <c r="Z26" i="3"/>
  <c r="Z58" i="3" s="1"/>
  <c r="Z85" i="3" s="1"/>
  <c r="AA26" i="3"/>
  <c r="AA58" i="3" s="1"/>
  <c r="AA85" i="3" s="1"/>
  <c r="AB26" i="3"/>
  <c r="AB58" i="3" s="1"/>
  <c r="AB85" i="3" s="1"/>
  <c r="AC26" i="3"/>
  <c r="AC58" i="3" s="1"/>
  <c r="AC85" i="3" s="1"/>
  <c r="AD26" i="3"/>
  <c r="AD58" i="3" s="1"/>
  <c r="AD85" i="3" s="1"/>
  <c r="AE26" i="3"/>
  <c r="AE58" i="3" s="1"/>
  <c r="AE85" i="3" s="1"/>
  <c r="AF26" i="3"/>
  <c r="AF58" i="3" s="1"/>
  <c r="AF85" i="3" s="1"/>
  <c r="AG26" i="3"/>
  <c r="AG58" i="3" s="1"/>
  <c r="AG85" i="3" s="1"/>
  <c r="AH26" i="3"/>
  <c r="AH58" i="3" s="1"/>
  <c r="AH85" i="3" s="1"/>
  <c r="AI26" i="3"/>
  <c r="AI58" i="3" s="1"/>
  <c r="AI85" i="3" s="1"/>
  <c r="AJ26" i="3"/>
  <c r="AJ58" i="3" s="1"/>
  <c r="AJ85" i="3" s="1"/>
  <c r="AK26" i="3"/>
  <c r="AK58" i="3" s="1"/>
  <c r="AK85" i="3" s="1"/>
  <c r="AL26" i="3"/>
  <c r="AL58" i="3" s="1"/>
  <c r="AL85" i="3" s="1"/>
  <c r="AM26" i="3"/>
  <c r="AM58" i="3" s="1"/>
  <c r="AM85" i="3" s="1"/>
  <c r="AN26" i="3"/>
  <c r="AN58" i="3" s="1"/>
  <c r="AN85" i="3" s="1"/>
  <c r="AO26" i="3"/>
  <c r="AO58" i="3" s="1"/>
  <c r="AO85" i="3" s="1"/>
  <c r="AP26" i="3"/>
  <c r="AP58" i="3" s="1"/>
  <c r="AP85" i="3" s="1"/>
  <c r="AQ26" i="3"/>
  <c r="AQ58" i="3" s="1"/>
  <c r="AQ85" i="3" s="1"/>
  <c r="AR26" i="3"/>
  <c r="AR58" i="3" s="1"/>
  <c r="AR85" i="3" s="1"/>
  <c r="AS26" i="3"/>
  <c r="AS58" i="3" s="1"/>
  <c r="AS85" i="3" s="1"/>
  <c r="AT26" i="3"/>
  <c r="AT58" i="3" s="1"/>
  <c r="AT85" i="3" s="1"/>
  <c r="AU26" i="3"/>
  <c r="AU58" i="3" s="1"/>
  <c r="AV26" i="3"/>
  <c r="AV58" i="3" s="1"/>
  <c r="AV85" i="3" s="1"/>
  <c r="AW26" i="3"/>
  <c r="AW58" i="3" s="1"/>
  <c r="AW85" i="3" s="1"/>
  <c r="AX26" i="3"/>
  <c r="AX58" i="3" s="1"/>
  <c r="AX85" i="3" s="1"/>
  <c r="AY26" i="3"/>
  <c r="AY58" i="3" s="1"/>
  <c r="AY85" i="3" s="1"/>
  <c r="AZ26" i="3"/>
  <c r="AZ58" i="3" s="1"/>
  <c r="AZ85" i="3" s="1"/>
  <c r="BA26" i="3"/>
  <c r="BA58" i="3" s="1"/>
  <c r="BA85" i="3" s="1"/>
  <c r="BB26" i="3"/>
  <c r="BB58" i="3" s="1"/>
  <c r="BB85" i="3" s="1"/>
  <c r="BC26" i="3"/>
  <c r="BC58" i="3" s="1"/>
  <c r="BC85" i="3" s="1"/>
  <c r="BD26" i="3"/>
  <c r="BD58" i="3" s="1"/>
  <c r="BD85" i="3" s="1"/>
  <c r="BE26" i="3"/>
  <c r="BE58" i="3" s="1"/>
  <c r="BE85" i="3" s="1"/>
  <c r="BF26" i="3"/>
  <c r="BF58" i="3" s="1"/>
  <c r="BG26" i="3"/>
  <c r="BG58" i="3" s="1"/>
  <c r="BH26" i="3"/>
  <c r="BH58" i="3" s="1"/>
  <c r="BI26" i="3"/>
  <c r="BI58" i="3" s="1"/>
  <c r="BJ26" i="3"/>
  <c r="BJ58" i="3" s="1"/>
  <c r="BK26" i="3"/>
  <c r="BK58" i="3" s="1"/>
  <c r="BL26" i="3"/>
  <c r="BL58" i="3" s="1"/>
  <c r="BM26" i="3"/>
  <c r="BM58" i="3" s="1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AU85" i="3" l="1"/>
  <c r="BO85" i="3"/>
  <c r="BM85" i="3"/>
  <c r="BY85" i="3"/>
  <c r="BI85" i="3"/>
  <c r="BU85" i="3"/>
  <c r="BL85" i="3"/>
  <c r="BX85" i="3"/>
  <c r="BH85" i="3"/>
  <c r="BT85" i="3"/>
  <c r="BQ85" i="3"/>
  <c r="BK85" i="3"/>
  <c r="BW85" i="3"/>
  <c r="BG85" i="3"/>
  <c r="BS85" i="3"/>
  <c r="BJ85" i="3"/>
  <c r="BV85" i="3"/>
  <c r="BF85" i="3"/>
  <c r="BR85" i="3"/>
  <c r="BP85" i="3"/>
  <c r="BN85" i="3"/>
</calcChain>
</file>

<file path=xl/sharedStrings.xml><?xml version="1.0" encoding="utf-8"?>
<sst xmlns="http://schemas.openxmlformats.org/spreadsheetml/2006/main" count="2122" uniqueCount="67">
  <si>
    <t>JURISDICCIÓN</t>
  </si>
  <si>
    <t>TOTAL</t>
  </si>
  <si>
    <t>CABA</t>
  </si>
  <si>
    <t>-</t>
  </si>
  <si>
    <t>Buenos Aires</t>
  </si>
  <si>
    <t>Chaco</t>
  </si>
  <si>
    <t>Córdoba</t>
  </si>
  <si>
    <t>Entre Ríos</t>
  </si>
  <si>
    <t>Formosa</t>
  </si>
  <si>
    <t>Jujuy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</si>
  <si>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</si>
  <si>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</si>
  <si>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</si>
  <si>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</si>
  <si>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</si>
  <si>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</si>
  <si>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</si>
  <si>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</si>
  <si>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</si>
  <si>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</si>
  <si>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Tucumán</t>
  </si>
  <si>
    <t>Chubut (**)</t>
  </si>
  <si>
    <t>T del Fuego (**)</t>
  </si>
  <si>
    <t>Catamarca</t>
  </si>
  <si>
    <t>s.d</t>
  </si>
  <si>
    <t xml:space="preserve">T del Fuego </t>
  </si>
  <si>
    <t>Chubut</t>
  </si>
  <si>
    <t>La Pampa</t>
  </si>
  <si>
    <t>Chaco (**)</t>
  </si>
  <si>
    <t>Formosa (**)</t>
  </si>
  <si>
    <t>Salta (**)</t>
  </si>
  <si>
    <t>Santa Cruz (**)</t>
  </si>
  <si>
    <t>T del Fuego  (**)</t>
  </si>
  <si>
    <t>(**) Corresponde solamente al inmobiliario Rural, ya que el Urbano queda en potestad de los municipios</t>
  </si>
  <si>
    <t>Jujuy (**)</t>
  </si>
  <si>
    <t>Neuquén (**)</t>
  </si>
  <si>
    <t>(**) La potestad tributaria de este impuesto corresponde a los municipios</t>
  </si>
  <si>
    <t>Mes/Variac</t>
  </si>
  <si>
    <t>Neuquen</t>
  </si>
  <si>
    <t>T del Fuego</t>
  </si>
  <si>
    <t>Tucuman</t>
  </si>
  <si>
    <t>II.BB</t>
  </si>
  <si>
    <t>Inmobiliario</t>
  </si>
  <si>
    <t>Sellos</t>
  </si>
  <si>
    <t>Automotor</t>
  </si>
  <si>
    <t>Otros Varios</t>
  </si>
  <si>
    <t>Total</t>
  </si>
  <si>
    <t>Tributo/Mes</t>
  </si>
  <si>
    <t>Bs. As</t>
  </si>
  <si>
    <t>-Participación % por tributo-</t>
  </si>
  <si>
    <t>Consolidado</t>
  </si>
  <si>
    <t>-variaciones % reales interanuales, total recaudación(*)-</t>
  </si>
  <si>
    <t>Corrientes</t>
  </si>
  <si>
    <t>S del Estero</t>
  </si>
  <si>
    <t>T del Fuego (*)</t>
  </si>
  <si>
    <t>Chubut (*)</t>
  </si>
  <si>
    <t xml:space="preserve">Corrientes </t>
  </si>
  <si>
    <t>Sgo del Estero</t>
  </si>
  <si>
    <t xml:space="preserve">La Pampa </t>
  </si>
  <si>
    <t>OTROS VARIOS (*)</t>
  </si>
  <si>
    <t xml:space="preserve">(*) Del mismo modo que informa la DNAP, esta información surge de la publicada por las Direcciones de Rentas o Administraciones Tributarias Provinciales, por lo que podrían incluirse, en este punto de "Otros", recursos no tributarios cuya recaudación se encuentra bajo la órbita de los organismos recaudadores. </t>
  </si>
  <si>
    <t>% real Acum 2026</t>
  </si>
  <si>
    <t>-valores expresados en millones de pesos corrientes-</t>
  </si>
  <si>
    <t>-INGRESOS BRUTOS. Variaciones % reales interanuales(*)-</t>
  </si>
  <si>
    <t>(*) Excluye regalías y derechos</t>
  </si>
  <si>
    <t>(**) Excluye regalías y derechos</t>
  </si>
  <si>
    <t>Última actualización: 11/09/2026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</si>
</sst>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"/>
    <numFmt numFmtId="165" formatCode="0.0"/>
    <numFmt numFmtId="166" formatCode="_ * #,##0.00_ ;_ * \-#,##0.00_ ;_ * &quot;-&quot;??_ ;_ @_ "/>
    <numFmt numFmtId="167" formatCode="_ [$€-2]\ * #,##0.00_ ;_ [$€-2]\ * \-#,##0.00_ ;_ [$€-2]\ * &quot;-&quot;??_ "/>
    <numFmt numFmtId="168" formatCode="0.0%"/>
    <numFmt numFmtId="169" formatCode="_ &quot;$&quot;\ * #,##0.00_ ;_ &quot;$&quot;\ * \-#,##0.00_ ;_ &quot;$&quot;\ * &quot;-&quot;??_ ;_ @_ "/>
    <numFmt numFmtId="170" formatCode="_-* #,##0.00\ [$€]_-;\-* #,##0.00\ [$€]_-;_-* &quot;-&quot;??\ [$€]_-;_-@_-"/>
    <numFmt numFmtId="171" formatCode="&quot;$&quot;\ 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Courier"/>
      <family val="3"/>
    </font>
    <font>
      <u/>
      <sz val="5"/>
      <color indexed="12"/>
      <name val="Courier"/>
      <family val="3"/>
    </font>
    <font>
      <b/>
      <sz val="8"/>
      <color theme="0"/>
      <name val="Arial Nova"/>
      <family val="2"/>
    </font>
    <font>
      <sz val="8"/>
      <color theme="1"/>
      <name val="Arial Nova"/>
      <family val="2"/>
    </font>
    <font>
      <sz val="8"/>
      <name val="Arial Nova"/>
      <family val="2"/>
    </font>
    <font>
      <i/>
      <sz val="8"/>
      <color theme="1"/>
      <name val="Arial Nova"/>
      <family val="2"/>
    </font>
    <font>
      <b/>
      <sz val="8"/>
      <name val="Arial Nova"/>
      <family val="2"/>
    </font>
    <font>
      <b/>
      <sz val="8"/>
      <color theme="1"/>
      <name val="Arial"/>
      <family val="2"/>
    </font>
    <font>
      <b/>
      <sz val="8"/>
      <color theme="1"/>
      <name val="Arial Nova"/>
      <family val="2"/>
    </font>
    <font>
      <i/>
      <sz val="8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6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3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7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/>
    <xf numFmtId="49" fontId="6" fillId="3" borderId="3" xfId="0" applyNumberFormat="1" applyFont="1" applyFill="1" applyBorder="1" applyAlignment="1">
      <alignment horizontal="left" vertical="center"/>
    </xf>
    <xf numFmtId="17" fontId="6" fillId="3" borderId="3" xfId="0" applyNumberFormat="1" applyFont="1" applyFill="1" applyBorder="1" applyAlignment="1">
      <alignment horizontal="center" vertical="center"/>
    </xf>
    <xf numFmtId="17" fontId="6" fillId="3" borderId="4" xfId="0" applyNumberFormat="1" applyFont="1" applyFill="1" applyBorder="1" applyAlignment="1">
      <alignment horizontal="center" vertical="center"/>
    </xf>
    <xf numFmtId="17" fontId="6" fillId="3" borderId="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171" fontId="8" fillId="2" borderId="0" xfId="0" applyNumberFormat="1" applyFont="1" applyFill="1" applyAlignment="1">
      <alignment horizontal="center" wrapText="1"/>
    </xf>
    <xf numFmtId="171" fontId="8" fillId="2" borderId="2" xfId="0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vertical="center"/>
    </xf>
    <xf numFmtId="0" fontId="10" fillId="4" borderId="9" xfId="0" applyFont="1" applyFill="1" applyBorder="1" applyAlignment="1">
      <alignment horizontal="left" vertical="center"/>
    </xf>
    <xf numFmtId="171" fontId="10" fillId="4" borderId="10" xfId="0" applyNumberFormat="1" applyFont="1" applyFill="1" applyBorder="1" applyAlignment="1">
      <alignment horizontal="center" vertical="center"/>
    </xf>
    <xf numFmtId="171" fontId="10" fillId="4" borderId="9" xfId="0" applyNumberFormat="1" applyFont="1" applyFill="1" applyBorder="1" applyAlignment="1">
      <alignment horizontal="center" vertical="center"/>
    </xf>
    <xf numFmtId="171" fontId="10" fillId="4" borderId="8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64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165" fontId="7" fillId="2" borderId="0" xfId="0" applyNumberFormat="1" applyFont="1" applyFill="1" applyAlignment="1">
      <alignment vertical="center"/>
    </xf>
    <xf numFmtId="2" fontId="7" fillId="2" borderId="0" xfId="1" applyNumberFormat="1" applyFont="1" applyFill="1" applyAlignment="1">
      <alignment vertical="center"/>
    </xf>
    <xf numFmtId="0" fontId="9" fillId="2" borderId="0" xfId="0" quotePrefix="1" applyFont="1" applyFill="1" applyAlignment="1">
      <alignment horizontal="left" vertical="center"/>
    </xf>
    <xf numFmtId="165" fontId="11" fillId="0" borderId="0" xfId="0" applyNumberFormat="1" applyFont="1"/>
    <xf numFmtId="0" fontId="8" fillId="2" borderId="0" xfId="0" applyFont="1" applyFill="1" applyAlignment="1">
      <alignment horizontal="center" wrapText="1"/>
    </xf>
    <xf numFmtId="168" fontId="8" fillId="2" borderId="0" xfId="2" applyNumberFormat="1" applyFont="1" applyFill="1" applyAlignment="1">
      <alignment horizontal="center" wrapText="1"/>
    </xf>
    <xf numFmtId="0" fontId="6" fillId="6" borderId="6" xfId="0" applyFont="1" applyFill="1" applyBorder="1" applyAlignment="1">
      <alignment horizontal="left" vertical="center"/>
    </xf>
    <xf numFmtId="17" fontId="6" fillId="6" borderId="6" xfId="0" applyNumberFormat="1" applyFont="1" applyFill="1" applyBorder="1" applyAlignment="1">
      <alignment horizontal="center" vertical="center"/>
    </xf>
    <xf numFmtId="17" fontId="6" fillId="6" borderId="7" xfId="0" applyNumberFormat="1" applyFont="1" applyFill="1" applyBorder="1" applyAlignment="1">
      <alignment horizontal="center" vertical="center"/>
    </xf>
    <xf numFmtId="17" fontId="6" fillId="6" borderId="11" xfId="0" applyNumberFormat="1" applyFont="1" applyFill="1" applyBorder="1" applyAlignment="1">
      <alignment horizontal="center" vertical="center"/>
    </xf>
    <xf numFmtId="17" fontId="6" fillId="6" borderId="7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17" fontId="6" fillId="5" borderId="0" xfId="0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68" fontId="7" fillId="0" borderId="0" xfId="2" applyNumberFormat="1" applyFont="1" applyBorder="1" applyAlignment="1">
      <alignment horizontal="center" vertical="center"/>
    </xf>
    <xf numFmtId="0" fontId="12" fillId="4" borderId="0" xfId="0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17" fontId="6" fillId="6" borderId="13" xfId="0" applyNumberFormat="1" applyFont="1" applyFill="1" applyBorder="1" applyAlignment="1">
      <alignment horizontal="center" vertical="center" wrapText="1"/>
    </xf>
    <xf numFmtId="168" fontId="13" fillId="0" borderId="0" xfId="2" applyNumberFormat="1" applyFont="1" applyFill="1" applyBorder="1" applyAlignment="1">
      <alignment horizontal="center" vertical="center"/>
    </xf>
    <xf numFmtId="168" fontId="10" fillId="7" borderId="1" xfId="2" applyNumberFormat="1" applyFont="1" applyFill="1" applyBorder="1" applyAlignment="1">
      <alignment horizontal="center" vertical="center"/>
    </xf>
    <xf numFmtId="168" fontId="10" fillId="7" borderId="0" xfId="2" applyNumberFormat="1" applyFont="1" applyFill="1" applyBorder="1" applyAlignment="1">
      <alignment horizontal="center" vertical="center"/>
    </xf>
    <xf numFmtId="168" fontId="10" fillId="7" borderId="2" xfId="2" applyNumberFormat="1" applyFont="1" applyFill="1" applyBorder="1" applyAlignment="1">
      <alignment horizontal="center" vertical="center"/>
    </xf>
    <xf numFmtId="168" fontId="10" fillId="7" borderId="7" xfId="2" applyNumberFormat="1" applyFont="1" applyFill="1" applyBorder="1" applyAlignment="1">
      <alignment horizontal="center" vertical="center"/>
    </xf>
    <xf numFmtId="168" fontId="10" fillId="7" borderId="11" xfId="2" applyNumberFormat="1" applyFont="1" applyFill="1" applyBorder="1" applyAlignment="1">
      <alignment horizontal="center" vertical="center"/>
    </xf>
    <xf numFmtId="168" fontId="10" fillId="8" borderId="0" xfId="2" applyNumberFormat="1" applyFont="1" applyFill="1" applyBorder="1" applyAlignment="1">
      <alignment horizontal="center" vertical="center"/>
    </xf>
    <xf numFmtId="168" fontId="10" fillId="8" borderId="1" xfId="2" applyNumberFormat="1" applyFont="1" applyFill="1" applyBorder="1" applyAlignment="1">
      <alignment horizontal="center" vertical="center"/>
    </xf>
    <xf numFmtId="168" fontId="10" fillId="8" borderId="2" xfId="2" applyNumberFormat="1" applyFont="1" applyFill="1" applyBorder="1" applyAlignment="1">
      <alignment horizontal="center" vertical="center"/>
    </xf>
    <xf numFmtId="168" fontId="10" fillId="8" borderId="14" xfId="2" applyNumberFormat="1" applyFont="1" applyFill="1" applyBorder="1" applyAlignment="1">
      <alignment horizontal="center" vertical="center"/>
    </xf>
    <xf numFmtId="168" fontId="10" fillId="8" borderId="7" xfId="2" applyNumberFormat="1" applyFont="1" applyFill="1" applyBorder="1" applyAlignment="1">
      <alignment horizontal="center" vertical="center"/>
    </xf>
    <xf numFmtId="168" fontId="10" fillId="8" borderId="13" xfId="2" applyNumberFormat="1" applyFont="1" applyFill="1" applyBorder="1" applyAlignment="1">
      <alignment horizontal="center" vertical="center"/>
    </xf>
    <xf numFmtId="168" fontId="10" fillId="8" borderId="6" xfId="2" applyNumberFormat="1" applyFont="1" applyFill="1" applyBorder="1" applyAlignment="1">
      <alignment horizontal="center" vertical="center"/>
    </xf>
    <xf numFmtId="168" fontId="10" fillId="7" borderId="14" xfId="2" applyNumberFormat="1" applyFont="1" applyFill="1" applyBorder="1" applyAlignment="1">
      <alignment horizontal="center" vertical="center"/>
    </xf>
    <xf numFmtId="17" fontId="6" fillId="6" borderId="13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/>
    </xf>
    <xf numFmtId="168" fontId="10" fillId="7" borderId="15" xfId="2" applyNumberFormat="1" applyFont="1" applyFill="1" applyBorder="1" applyAlignment="1">
      <alignment horizontal="center" vertical="center"/>
    </xf>
    <xf numFmtId="168" fontId="10" fillId="7" borderId="12" xfId="2" applyNumberFormat="1" applyFont="1" applyFill="1" applyBorder="1" applyAlignment="1">
      <alignment horizontal="center" vertical="center"/>
    </xf>
    <xf numFmtId="168" fontId="10" fillId="8" borderId="16" xfId="2" applyNumberFormat="1" applyFont="1" applyFill="1" applyBorder="1" applyAlignment="1">
      <alignment horizontal="center" vertical="center"/>
    </xf>
    <xf numFmtId="168" fontId="10" fillId="8" borderId="12" xfId="2" applyNumberFormat="1" applyFont="1" applyFill="1" applyBorder="1" applyAlignment="1">
      <alignment horizontal="center" vertical="center"/>
    </xf>
    <xf numFmtId="168" fontId="13" fillId="0" borderId="12" xfId="2" applyNumberFormat="1" applyFont="1" applyFill="1" applyBorder="1" applyAlignment="1">
      <alignment horizontal="center" vertical="center"/>
    </xf>
    <xf numFmtId="168" fontId="10" fillId="8" borderId="17" xfId="2" applyNumberFormat="1" applyFont="1" applyFill="1" applyBorder="1" applyAlignment="1">
      <alignment horizontal="center" vertical="center"/>
    </xf>
    <xf numFmtId="0" fontId="6" fillId="6" borderId="6" xfId="0" quotePrefix="1" applyFont="1" applyFill="1" applyBorder="1" applyAlignment="1">
      <alignment horizontal="center" vertical="center" wrapText="1"/>
    </xf>
    <xf numFmtId="0" fontId="6" fillId="6" borderId="7" xfId="0" quotePrefix="1" applyFont="1" applyFill="1" applyBorder="1" applyAlignment="1">
      <alignment horizontal="center" vertical="center" wrapText="1"/>
    </xf>
    <xf numFmtId="0" fontId="6" fillId="6" borderId="11" xfId="0" quotePrefix="1" applyFont="1" applyFill="1" applyBorder="1" applyAlignment="1">
      <alignment horizontal="center" vertical="center" wrapText="1"/>
    </xf>
    <xf numFmtId="0" fontId="6" fillId="5" borderId="7" xfId="0" quotePrefix="1" applyFont="1" applyFill="1" applyBorder="1" applyAlignment="1">
      <alignment horizontal="center" vertical="center"/>
    </xf>
  </cellXfs>
  <cellStyles count="65">
    <cellStyle name="Euro" xfId="11" xr:uid="{D17D3FEA-0577-482B-B434-5140A2CC3A50}"/>
    <cellStyle name="Euro 2" xfId="15" xr:uid="{6A94DE50-4C0B-4C2A-AD4F-BFA13E6662EF}"/>
    <cellStyle name="Euro 3" xfId="41" xr:uid="{F55BF003-8CCA-44EE-B2EB-E19698F8F437}"/>
    <cellStyle name="F2" xfId="42" xr:uid="{BC046844-0C6C-469C-9813-7E70F2E429E3}"/>
    <cellStyle name="F2 2" xfId="55" xr:uid="{3E77EBF8-5F61-40F0-9AF0-61F5631C6A9B}"/>
    <cellStyle name="F3" xfId="43" xr:uid="{5EE8082D-8494-4308-A229-77B9B055389D}"/>
    <cellStyle name="F3 2" xfId="56" xr:uid="{0F0D2417-74FE-4FC3-9A03-915D2B0D2660}"/>
    <cellStyle name="F4" xfId="44" xr:uid="{7B369942-34C6-4C62-8348-9B799AE2A4FF}"/>
    <cellStyle name="F4 2" xfId="57" xr:uid="{CB01CA15-BB48-47CA-AEFA-BE03267111F7}"/>
    <cellStyle name="F5" xfId="45" xr:uid="{B1765198-DA21-4504-B1E8-E334B27EC5CF}"/>
    <cellStyle name="F5 2" xfId="58" xr:uid="{0C72D791-F410-443D-B326-B4BD66FF13E0}"/>
    <cellStyle name="F6" xfId="46" xr:uid="{D5245899-5CEF-41B2-94FF-3346BC4293D9}"/>
    <cellStyle name="F6 2" xfId="59" xr:uid="{500DC0AE-0223-4C39-82F2-7FAF8B829DDE}"/>
    <cellStyle name="F7" xfId="47" xr:uid="{15737E15-3F87-4598-8790-E38E87864698}"/>
    <cellStyle name="F7 2" xfId="60" xr:uid="{6A8A12B5-FEDC-4B36-B925-0B11493369A8}"/>
    <cellStyle name="F8" xfId="48" xr:uid="{10B0AFB0-15E2-4224-A44E-596CC3E0AA2A}"/>
    <cellStyle name="F8 2" xfId="61" xr:uid="{C11E2773-98DA-46E8-B0DE-06EFBD1782C4}"/>
    <cellStyle name="Hipervínculo 2" xfId="49" xr:uid="{F8DA8890-D98D-40DA-8595-F30FDF5B9F00}"/>
    <cellStyle name="Millares 2" xfId="5" xr:uid="{F630E079-20E3-44AC-838D-3E95F38D2A3D}"/>
    <cellStyle name="Millares 2 2" xfId="18" xr:uid="{A44AEB41-3F4C-4B50-B684-8FA04213F192}"/>
    <cellStyle name="Millares 3" xfId="7" xr:uid="{1B82030E-C256-47A3-8B50-6D05F93397EF}"/>
    <cellStyle name="Millares 3 2" xfId="19" xr:uid="{F54A4273-3229-4437-AB49-68E451EBBB02}"/>
    <cellStyle name="Millares 3 3" xfId="25" xr:uid="{E7B908DF-7B9E-418B-A5D8-65153DA255DD}"/>
    <cellStyle name="Millares 3 4" xfId="30" xr:uid="{61DB3180-3841-46DF-AC37-D216FE24F14D}"/>
    <cellStyle name="Millares 3 5" xfId="35" xr:uid="{584A5E47-6841-4116-A6ED-F2F504EA6EC4}"/>
    <cellStyle name="Millares 4" xfId="8" xr:uid="{C8073197-9CD0-4CB1-8C4B-3C81CEDECC1E}"/>
    <cellStyle name="Millares 5" xfId="12" xr:uid="{E29CB74E-6DB5-4C96-B86F-1941DD930856}"/>
    <cellStyle name="Millares 5 2" xfId="20" xr:uid="{B6434EB2-41F2-40C6-91E5-4C57CE198C6C}"/>
    <cellStyle name="Millares 5 3" xfId="26" xr:uid="{37D98C41-8607-46A3-AFFF-6B2A4E601164}"/>
    <cellStyle name="Millares 5 4" xfId="31" xr:uid="{BF2C1A8D-FF0A-4A3A-BBCE-82F5CFDB138E}"/>
    <cellStyle name="Millares 5 5" xfId="36" xr:uid="{68623930-6792-49A4-BEE3-061D9024B982}"/>
    <cellStyle name="Millares 6" xfId="16" xr:uid="{243BB348-3993-4D39-AE73-AAC5A03688AC}"/>
    <cellStyle name="Millares 6 2" xfId="22" xr:uid="{C2276BF2-B467-41AE-BFC8-6AE3AAA3F725}"/>
    <cellStyle name="Millares 6 3" xfId="28" xr:uid="{E0B32095-F9C7-4B9A-9F3E-C2C7D5636871}"/>
    <cellStyle name="Millares 6 4" xfId="33" xr:uid="{6282C029-5083-4762-AE08-63E96EB46FA6}"/>
    <cellStyle name="Millares 6 5" xfId="38" xr:uid="{AA009E6B-D7AC-4737-900B-599E82EC6801}"/>
    <cellStyle name="Moneda" xfId="1" builtinId="4"/>
    <cellStyle name="Moneda 2" xfId="13" xr:uid="{CACCFB43-A802-4213-A9E0-4BD021522ED6}"/>
    <cellStyle name="Moneda 2 2" xfId="21" xr:uid="{B591A172-C2D0-4E03-A7CB-59CAFAD5CCB6}"/>
    <cellStyle name="Moneda 2 3" xfId="27" xr:uid="{7E3FEE06-1B40-4D52-8FC6-A9E985B3D9CE}"/>
    <cellStyle name="Moneda 2 4" xfId="32" xr:uid="{636C33A6-48EB-44E0-BB42-058496F32DAF}"/>
    <cellStyle name="Moneda 2 5" xfId="37" xr:uid="{FC11F0BA-1282-4160-B7F4-83C392F13304}"/>
    <cellStyle name="Moneda 3" xfId="17" xr:uid="{BF1126B7-B2A8-4842-BB31-09FD89C6E098}"/>
    <cellStyle name="Moneda 3 2" xfId="23" xr:uid="{A42D4A95-C89E-482A-B3CF-883D83D7FC2B}"/>
    <cellStyle name="Moneda 3 3" xfId="29" xr:uid="{FAE277B0-15F1-4F22-8336-F512BCDF6A11}"/>
    <cellStyle name="Moneda 3 4" xfId="34" xr:uid="{653BEFA6-9A5D-4983-A103-02857F540B51}"/>
    <cellStyle name="Moneda 3 5" xfId="39" xr:uid="{E0F80EA1-096F-431F-8453-8A557EAB8CB3}"/>
    <cellStyle name="Moneda 4" xfId="40" xr:uid="{19115864-CCE6-496A-B23E-9D89C1B2C591}"/>
    <cellStyle name="Normal" xfId="0" builtinId="0"/>
    <cellStyle name="Normal 2" xfId="4" xr:uid="{28F8D2CA-9DBD-40DA-8DC5-3318E536C185}"/>
    <cellStyle name="Normal 2 2" xfId="9" xr:uid="{A5796FD2-1785-476E-AB11-3E8BF30C8715}"/>
    <cellStyle name="Normal 2 2 2" xfId="53" xr:uid="{DA756160-DD84-44F8-9E16-663B1688C47A}"/>
    <cellStyle name="Normal 3" xfId="10" xr:uid="{84A8FBE9-776B-48AC-BA69-0E96EBD481D6}"/>
    <cellStyle name="Normal 3 2" xfId="50" xr:uid="{86750C55-8A56-4F3C-8DF2-8399388BEB48}"/>
    <cellStyle name="Normal 4" xfId="14" xr:uid="{D8081016-1A8C-4023-A6D1-5696D39C6E8F}"/>
    <cellStyle name="Normal 5" xfId="24" xr:uid="{380DF45D-290E-47B7-B728-72E12B2DB4C6}"/>
    <cellStyle name="Porcentaje" xfId="2" builtinId="5"/>
    <cellStyle name="Porcentaje 2" xfId="6" xr:uid="{51A200DC-2566-4B46-B686-4CFB4C3F3EF1}"/>
    <cellStyle name="Porcentaje 2 2" xfId="62" xr:uid="{21ED66AB-68A8-4352-9C25-4CE7BEAE7BE9}"/>
    <cellStyle name="Porcentual 2" xfId="51" xr:uid="{5BBF566C-DEEE-44C3-8EDD-E5B2ED2FBF1C}"/>
    <cellStyle name="Porcentual 2 2" xfId="63" xr:uid="{02718A46-4869-4F2C-8CA4-CC10F5CD9252}"/>
    <cellStyle name="Porcentual 3" xfId="52" xr:uid="{F4C71A78-383F-4EE8-9842-7BEDA6DB51AA}"/>
    <cellStyle name="Porcentual 3 2" xfId="3" xr:uid="{00000000-0005-0000-0000-000003000000}"/>
    <cellStyle name="Porcentual 3 2 2" xfId="54" xr:uid="{D1B8547D-3BEC-408D-8975-4697F4D54EF5}"/>
    <cellStyle name="Porcentual 3 3" xfId="64" xr:uid="{27357275-78C9-41FA-9389-64BD8A930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9"/>
  <sheetViews>
    <sheetView showGridLines="0" zoomScaleNormal="100" zoomScaleSheetLayoutView="100" workbookViewId="0">
      <pane xSplit="1" ySplit="1" topLeftCell="CC2" activePane="bottomRight" state="frozen"/>
      <selection pane="topRight" activeCell="B1" sqref="B1"/>
      <selection pane="bottomLeft" activeCell="A2" sqref="A2"/>
      <selection pane="bottomRight" activeCell="CM22" sqref="CM22"/>
    </sheetView>
  </sheetViews>
  <sheetFormatPr baseColWidth="10" defaultColWidth="11.5703125" defaultRowHeight="11.25" x14ac:dyDescent="0.25"/>
  <cols>
    <col min="1" max="1" width="15" style="20" bestFit="1" customWidth="1"/>
    <col min="2" max="2" width="7.85546875" style="8" bestFit="1" customWidth="1"/>
    <col min="3" max="11" width="7" style="8" bestFit="1" customWidth="1"/>
    <col min="12" max="12" width="7.85546875" style="8" bestFit="1" customWidth="1"/>
    <col min="13" max="13" width="7" style="8" bestFit="1" customWidth="1"/>
    <col min="14" max="16" width="7.85546875" style="8" bestFit="1" customWidth="1"/>
    <col min="17" max="18" width="7" style="8" bestFit="1" customWidth="1"/>
    <col min="19" max="58" width="7.85546875" style="8" bestFit="1" customWidth="1"/>
    <col min="59" max="93" width="9.140625" style="8" bestFit="1" customWidth="1"/>
    <col min="94" max="16384" width="11.5703125" style="8"/>
  </cols>
  <sheetData>
    <row r="1" spans="1:93" x14ac:dyDescent="0.25">
      <c r="A1" s="4" t="s">
        <v>0</v>
      </c>
      <c r="B1" s="5">
        <v>43466</v>
      </c>
      <c r="C1" s="6">
        <v>43497</v>
      </c>
      <c r="D1" s="6">
        <v>43525</v>
      </c>
      <c r="E1" s="6">
        <v>43556</v>
      </c>
      <c r="F1" s="6">
        <v>43586</v>
      </c>
      <c r="G1" s="6">
        <v>43617</v>
      </c>
      <c r="H1" s="6">
        <v>43647</v>
      </c>
      <c r="I1" s="6">
        <v>43678</v>
      </c>
      <c r="J1" s="6">
        <v>43709</v>
      </c>
      <c r="K1" s="6">
        <v>43739</v>
      </c>
      <c r="L1" s="6">
        <v>43770</v>
      </c>
      <c r="M1" s="7">
        <v>43800</v>
      </c>
      <c r="N1" s="5">
        <v>43831</v>
      </c>
      <c r="O1" s="6">
        <v>43862</v>
      </c>
      <c r="P1" s="6">
        <v>43891</v>
      </c>
      <c r="Q1" s="6">
        <v>43922</v>
      </c>
      <c r="R1" s="6">
        <v>43952</v>
      </c>
      <c r="S1" s="6">
        <v>43983</v>
      </c>
      <c r="T1" s="6">
        <v>44013</v>
      </c>
      <c r="U1" s="6">
        <v>44044</v>
      </c>
      <c r="V1" s="6">
        <v>44075</v>
      </c>
      <c r="W1" s="6">
        <v>44105</v>
      </c>
      <c r="X1" s="6">
        <v>44136</v>
      </c>
      <c r="Y1" s="7">
        <v>44166</v>
      </c>
      <c r="Z1" s="5">
        <v>44197</v>
      </c>
      <c r="AA1" s="6">
        <v>44228</v>
      </c>
      <c r="AB1" s="6">
        <v>44256</v>
      </c>
      <c r="AC1" s="6">
        <v>44287</v>
      </c>
      <c r="AD1" s="6">
        <v>44317</v>
      </c>
      <c r="AE1" s="6">
        <v>44348</v>
      </c>
      <c r="AF1" s="6">
        <v>44378</v>
      </c>
      <c r="AG1" s="6">
        <v>44409</v>
      </c>
      <c r="AH1" s="6">
        <v>44440</v>
      </c>
      <c r="AI1" s="6">
        <v>44470</v>
      </c>
      <c r="AJ1" s="6">
        <v>44501</v>
      </c>
      <c r="AK1" s="7">
        <v>44531</v>
      </c>
      <c r="AL1" s="5">
        <v>44562</v>
      </c>
      <c r="AM1" s="6">
        <v>44593</v>
      </c>
      <c r="AN1" s="6">
        <v>44621</v>
      </c>
      <c r="AO1" s="6">
        <v>44652</v>
      </c>
      <c r="AP1" s="6">
        <v>44682</v>
      </c>
      <c r="AQ1" s="6">
        <v>44713</v>
      </c>
      <c r="AR1" s="6">
        <v>44743</v>
      </c>
      <c r="AS1" s="6">
        <v>44774</v>
      </c>
      <c r="AT1" s="6">
        <v>44805</v>
      </c>
      <c r="AU1" s="6">
        <v>44835</v>
      </c>
      <c r="AV1" s="6">
        <v>44866</v>
      </c>
      <c r="AW1" s="7">
        <v>44896</v>
      </c>
      <c r="AX1" s="5">
        <v>44927</v>
      </c>
      <c r="AY1" s="6">
        <v>44958</v>
      </c>
      <c r="AZ1" s="6">
        <v>44986</v>
      </c>
      <c r="BA1" s="6">
        <v>45017</v>
      </c>
      <c r="BB1" s="6">
        <v>45047</v>
      </c>
      <c r="BC1" s="6">
        <v>45078</v>
      </c>
      <c r="BD1" s="6">
        <v>45108</v>
      </c>
      <c r="BE1" s="6">
        <v>45139</v>
      </c>
      <c r="BF1" s="6">
        <v>45170</v>
      </c>
      <c r="BG1" s="6">
        <v>45200</v>
      </c>
      <c r="BH1" s="6">
        <v>45231</v>
      </c>
      <c r="BI1" s="7">
        <v>45261</v>
      </c>
      <c r="BJ1" s="5">
        <v>45292</v>
      </c>
      <c r="BK1" s="6">
        <v>45323</v>
      </c>
      <c r="BL1" s="6">
        <v>45352</v>
      </c>
      <c r="BM1" s="6">
        <v>45383</v>
      </c>
      <c r="BN1" s="6">
        <v>45413</v>
      </c>
      <c r="BO1" s="6">
        <v>45444</v>
      </c>
      <c r="BP1" s="6">
        <v>45474</v>
      </c>
      <c r="BQ1" s="6">
        <v>45505</v>
      </c>
      <c r="BR1" s="6">
        <v>45536</v>
      </c>
      <c r="BS1" s="6">
        <v>45566</v>
      </c>
      <c r="BT1" s="6">
        <v>45597</v>
      </c>
      <c r="BU1" s="7">
        <v>45627</v>
      </c>
      <c r="BV1" s="5">
        <v>45658</v>
      </c>
      <c r="BW1" s="6">
        <v>45689</v>
      </c>
      <c r="BX1" s="6">
        <v>45717</v>
      </c>
      <c r="BY1" s="6">
        <v>45748</v>
      </c>
      <c r="BZ1" s="6">
        <v>45778</v>
      </c>
      <c r="CA1" s="6">
        <v>45809</v>
      </c>
      <c r="CB1" s="6">
        <v>45839</v>
      </c>
      <c r="CC1" s="6">
        <v>45870</v>
      </c>
      <c r="CD1" s="6">
        <v>45901</v>
      </c>
      <c r="CE1" s="6">
        <v>45931</v>
      </c>
      <c r="CF1" s="6">
        <v>45962</v>
      </c>
      <c r="CG1" s="7">
        <v>45992</v>
      </c>
      <c r="CH1" s="5">
        <v>46023</v>
      </c>
      <c r="CI1" s="6">
        <v>46054</v>
      </c>
      <c r="CJ1" s="6">
        <v>46082</v>
      </c>
      <c r="CK1" s="6">
        <v>46113</v>
      </c>
      <c r="CL1" s="6">
        <v>46143</v>
      </c>
      <c r="CM1" s="6">
        <v>46174</v>
      </c>
      <c r="CN1" s="6">
        <v>46204</v>
      </c>
      <c r="CO1" s="6">
        <v>46235</v>
      </c>
    </row>
    <row r="2" spans="1:93" s="12" customFormat="1" x14ac:dyDescent="0.2">
      <c r="A2" s="9" t="s">
        <v>4</v>
      </c>
      <c r="B2" s="10">
        <v>29680.857786039996</v>
      </c>
      <c r="C2" s="10">
        <v>28537.85688377</v>
      </c>
      <c r="D2" s="10">
        <v>27501.722739749999</v>
      </c>
      <c r="E2" s="10">
        <v>26581.721000000005</v>
      </c>
      <c r="F2" s="10">
        <v>28541.036000000004</v>
      </c>
      <c r="G2" s="10">
        <v>30179.504000000001</v>
      </c>
      <c r="H2" s="10">
        <v>29913.642</v>
      </c>
      <c r="I2" s="10">
        <v>30779.904000000002</v>
      </c>
      <c r="J2" s="10">
        <v>35286.023000000001</v>
      </c>
      <c r="K2" s="10">
        <v>32454.938000000002</v>
      </c>
      <c r="L2" s="10">
        <v>35450.324000000001</v>
      </c>
      <c r="M2" s="11">
        <v>31097.862049610001</v>
      </c>
      <c r="N2" s="10">
        <v>34848.602064070001</v>
      </c>
      <c r="O2" s="10">
        <v>35932.181082599993</v>
      </c>
      <c r="P2" s="10">
        <v>42339.593384449996</v>
      </c>
      <c r="Q2" s="10">
        <v>29626.194</v>
      </c>
      <c r="R2" s="10">
        <v>32464.636000000002</v>
      </c>
      <c r="S2" s="10">
        <v>36599.182000000001</v>
      </c>
      <c r="T2" s="10">
        <v>37355.417999999998</v>
      </c>
      <c r="U2" s="10">
        <v>38826.930999999997</v>
      </c>
      <c r="V2" s="10">
        <v>43598.884000000005</v>
      </c>
      <c r="W2" s="10">
        <v>41198.269999999997</v>
      </c>
      <c r="X2" s="10">
        <v>48105.493000000002</v>
      </c>
      <c r="Y2" s="11">
        <v>46121.442999999999</v>
      </c>
      <c r="Z2" s="10">
        <v>56690.131731659989</v>
      </c>
      <c r="AA2" s="10">
        <v>57983.467050470019</v>
      </c>
      <c r="AB2" s="10">
        <v>62049.556100430011</v>
      </c>
      <c r="AC2" s="10">
        <v>60648.794000000009</v>
      </c>
      <c r="AD2" s="10">
        <v>61924.733999999997</v>
      </c>
      <c r="AE2" s="10">
        <v>68709.166999999987</v>
      </c>
      <c r="AF2" s="10">
        <v>68552.460000000006</v>
      </c>
      <c r="AG2" s="10">
        <v>63003.76307149999</v>
      </c>
      <c r="AH2" s="10">
        <v>70728.292999999991</v>
      </c>
      <c r="AI2" s="10">
        <v>70356.599000000017</v>
      </c>
      <c r="AJ2" s="10">
        <v>77179.56700000001</v>
      </c>
      <c r="AK2" s="11">
        <v>73652.277000000002</v>
      </c>
      <c r="AL2" s="10">
        <v>75776.70010899</v>
      </c>
      <c r="AM2" s="10">
        <v>86120.189045580002</v>
      </c>
      <c r="AN2" s="10">
        <v>105365.03575842002</v>
      </c>
      <c r="AO2" s="10">
        <v>98127.15285263001</v>
      </c>
      <c r="AP2" s="10">
        <v>108686.83923601998</v>
      </c>
      <c r="AQ2" s="10">
        <v>118643.05505964</v>
      </c>
      <c r="AR2" s="10">
        <v>128373.53202127</v>
      </c>
      <c r="AS2" s="10">
        <v>124566.74972773998</v>
      </c>
      <c r="AT2" s="10">
        <v>140706.01585835</v>
      </c>
      <c r="AU2" s="10">
        <v>138737.70340138001</v>
      </c>
      <c r="AV2" s="10">
        <v>146941.31829084974</v>
      </c>
      <c r="AW2" s="11">
        <v>136722.58728769998</v>
      </c>
      <c r="AX2" s="10">
        <v>154759.03513445982</v>
      </c>
      <c r="AY2" s="10">
        <v>165427.34699378986</v>
      </c>
      <c r="AZ2" s="10">
        <v>200136.54668333929</v>
      </c>
      <c r="BA2" s="10">
        <v>194928.37536771985</v>
      </c>
      <c r="BB2" s="10">
        <v>210181.96399499959</v>
      </c>
      <c r="BC2" s="10">
        <v>235321.52111925956</v>
      </c>
      <c r="BD2" s="10">
        <v>252518.85223531935</v>
      </c>
      <c r="BE2" s="10">
        <v>265664.18040038936</v>
      </c>
      <c r="BF2" s="10">
        <v>307375.36690076906</v>
      </c>
      <c r="BG2" s="10">
        <v>326323.04471878917</v>
      </c>
      <c r="BH2" s="10">
        <v>366637.03797909996</v>
      </c>
      <c r="BI2" s="11">
        <v>361136.78270320187</v>
      </c>
      <c r="BJ2" s="10">
        <v>480894.4714935816</v>
      </c>
      <c r="BK2" s="10">
        <v>617285.32713347068</v>
      </c>
      <c r="BL2" s="10">
        <v>840195.61233921035</v>
      </c>
      <c r="BM2" s="10">
        <v>726206.37641038396</v>
      </c>
      <c r="BN2" s="10">
        <v>692067.63928611088</v>
      </c>
      <c r="BO2" s="10">
        <v>782001.42660725419</v>
      </c>
      <c r="BP2" s="10">
        <v>804133.82644663239</v>
      </c>
      <c r="BQ2" s="10">
        <v>858082.37276155525</v>
      </c>
      <c r="BR2" s="10">
        <v>919350.8203278759</v>
      </c>
      <c r="BS2" s="10">
        <v>971268.51652844448</v>
      </c>
      <c r="BT2" s="10">
        <v>1043542.8451067734</v>
      </c>
      <c r="BU2" s="11">
        <v>914225.48050261557</v>
      </c>
      <c r="BV2" s="10">
        <v>950706.14118697855</v>
      </c>
      <c r="BW2" s="10">
        <v>921021.09867996082</v>
      </c>
      <c r="BX2" s="10">
        <v>1083447.6339641132</v>
      </c>
      <c r="BY2" s="10">
        <v>1104931.3200815665</v>
      </c>
      <c r="BZ2" s="10">
        <v>1162835.8300737394</v>
      </c>
      <c r="CA2" s="10">
        <v>1145940.4683266506</v>
      </c>
      <c r="CB2" s="10">
        <v>1215758.2702181819</v>
      </c>
      <c r="CC2" s="10">
        <v>1208999.6488474286</v>
      </c>
      <c r="CD2" s="10">
        <v>1295553.4442111107</v>
      </c>
      <c r="CE2" s="10">
        <v>1221182.1209371667</v>
      </c>
      <c r="CF2" s="10">
        <v>1316795.8293455474</v>
      </c>
      <c r="CG2" s="11">
        <v>1320151.0036980282</v>
      </c>
      <c r="CH2" s="10">
        <v>1314352.3328200898</v>
      </c>
      <c r="CI2" s="10">
        <v>1319640.3887360124</v>
      </c>
      <c r="CJ2" s="10">
        <v>1366397.3973311742</v>
      </c>
      <c r="CK2" s="10">
        <v>1425233.8909558346</v>
      </c>
      <c r="CL2" s="10">
        <v>1341638.7617040335</v>
      </c>
      <c r="CM2" s="10">
        <v>1562091.8220230155</v>
      </c>
      <c r="CN2" s="10">
        <v>1488013.7916022306</v>
      </c>
      <c r="CO2" s="10"/>
    </row>
    <row r="3" spans="1:93" s="12" customFormat="1" x14ac:dyDescent="0.2">
      <c r="A3" s="9" t="s">
        <v>2</v>
      </c>
      <c r="B3" s="10">
        <v>19003.5</v>
      </c>
      <c r="C3" s="10">
        <v>17988.5</v>
      </c>
      <c r="D3" s="10">
        <v>14975.3</v>
      </c>
      <c r="E3" s="10">
        <v>17967.7</v>
      </c>
      <c r="F3" s="10">
        <v>17590.600000000002</v>
      </c>
      <c r="G3" s="10">
        <v>18633.599999999999</v>
      </c>
      <c r="H3" s="10">
        <v>18470.2</v>
      </c>
      <c r="I3" s="10">
        <v>20479.199999999997</v>
      </c>
      <c r="J3" s="10">
        <v>20945.2</v>
      </c>
      <c r="K3" s="10">
        <v>21577.999999999996</v>
      </c>
      <c r="L3" s="10">
        <v>23029.3</v>
      </c>
      <c r="M3" s="11">
        <v>23020.6</v>
      </c>
      <c r="N3" s="10">
        <v>27701.699999999997</v>
      </c>
      <c r="O3" s="10">
        <v>25799.4</v>
      </c>
      <c r="P3" s="10">
        <v>20488.7</v>
      </c>
      <c r="Q3" s="10">
        <v>19240.399999999998</v>
      </c>
      <c r="R3" s="10">
        <v>19960.099999999999</v>
      </c>
      <c r="S3" s="10">
        <v>22778</v>
      </c>
      <c r="T3" s="10">
        <v>23452</v>
      </c>
      <c r="U3" s="10">
        <v>26778.5</v>
      </c>
      <c r="V3" s="10">
        <v>27814.400000000001</v>
      </c>
      <c r="W3" s="10">
        <v>30321</v>
      </c>
      <c r="X3" s="10">
        <v>28871.9</v>
      </c>
      <c r="Y3" s="11">
        <v>31272.6</v>
      </c>
      <c r="Z3" s="10">
        <v>38638.900000000009</v>
      </c>
      <c r="AA3" s="10">
        <v>38863.200000000004</v>
      </c>
      <c r="AB3" s="10">
        <v>34049.299999999996</v>
      </c>
      <c r="AC3" s="10">
        <v>40842.100000000006</v>
      </c>
      <c r="AD3" s="10">
        <v>40668.400000000001</v>
      </c>
      <c r="AE3" s="10">
        <v>43917.7</v>
      </c>
      <c r="AF3" s="10">
        <v>43967.100000000006</v>
      </c>
      <c r="AG3" s="10">
        <v>48845.5</v>
      </c>
      <c r="AH3" s="10">
        <v>48735.199999999997</v>
      </c>
      <c r="AI3" s="10">
        <v>51702.400000000001</v>
      </c>
      <c r="AJ3" s="10">
        <v>52987.6</v>
      </c>
      <c r="AK3" s="11">
        <v>58870.9</v>
      </c>
      <c r="AL3" s="10">
        <v>63094.2</v>
      </c>
      <c r="AM3" s="10">
        <v>62066.400000000001</v>
      </c>
      <c r="AN3" s="10">
        <v>55506.3</v>
      </c>
      <c r="AO3" s="10">
        <v>68823.5</v>
      </c>
      <c r="AP3" s="10">
        <v>69142.299999999988</v>
      </c>
      <c r="AQ3" s="10">
        <v>78343.8</v>
      </c>
      <c r="AR3" s="10">
        <v>81670.7</v>
      </c>
      <c r="AS3" s="10">
        <v>91834.5</v>
      </c>
      <c r="AT3" s="10">
        <v>96997.800000000017</v>
      </c>
      <c r="AU3" s="10">
        <v>108956.6</v>
      </c>
      <c r="AV3" s="10">
        <v>113051.79999999999</v>
      </c>
      <c r="AW3" s="11">
        <v>126672.4</v>
      </c>
      <c r="AX3" s="10">
        <v>142995.5</v>
      </c>
      <c r="AY3" s="10">
        <v>142053.59999999998</v>
      </c>
      <c r="AZ3" s="10">
        <v>130190.6</v>
      </c>
      <c r="BA3" s="10">
        <v>158522.4</v>
      </c>
      <c r="BB3" s="10">
        <v>164075.70000000001</v>
      </c>
      <c r="BC3" s="10">
        <v>193255.5</v>
      </c>
      <c r="BD3" s="10">
        <v>207775.7</v>
      </c>
      <c r="BE3" s="10">
        <v>229161.7</v>
      </c>
      <c r="BF3" s="10">
        <v>266894.7</v>
      </c>
      <c r="BG3" s="10">
        <v>301105.3</v>
      </c>
      <c r="BH3" s="10">
        <v>324781.69999999995</v>
      </c>
      <c r="BI3" s="11">
        <v>360778.2</v>
      </c>
      <c r="BJ3" s="10">
        <v>466525.1</v>
      </c>
      <c r="BK3" s="10">
        <v>474364.8</v>
      </c>
      <c r="BL3" s="10">
        <v>458538.3</v>
      </c>
      <c r="BM3" s="10">
        <v>527925.69999999995</v>
      </c>
      <c r="BN3" s="10">
        <v>542932.80000000005</v>
      </c>
      <c r="BO3" s="10">
        <v>582367.6</v>
      </c>
      <c r="BP3" s="10">
        <v>551658.9</v>
      </c>
      <c r="BQ3" s="10">
        <v>631043.4</v>
      </c>
      <c r="BR3" s="10">
        <v>635860.20000000007</v>
      </c>
      <c r="BS3" s="10">
        <v>638998.79999999993</v>
      </c>
      <c r="BT3" s="10">
        <v>659182.5</v>
      </c>
      <c r="BU3" s="11">
        <v>687956.5</v>
      </c>
      <c r="BV3" s="10">
        <v>729043.3</v>
      </c>
      <c r="BW3" s="10">
        <v>768506.5</v>
      </c>
      <c r="BX3" s="10">
        <v>670256.30000000005</v>
      </c>
      <c r="BY3" s="10">
        <v>789995.5</v>
      </c>
      <c r="BZ3" s="10">
        <v>794195</v>
      </c>
      <c r="CA3" s="10">
        <v>790697.5</v>
      </c>
      <c r="CB3" s="10">
        <v>785857.2</v>
      </c>
      <c r="CC3" s="10">
        <v>891886.5</v>
      </c>
      <c r="CD3" s="10">
        <v>886387.7</v>
      </c>
      <c r="CE3" s="10">
        <v>962840.59999999986</v>
      </c>
      <c r="CF3" s="10">
        <v>939760.5</v>
      </c>
      <c r="CG3" s="11">
        <v>934708.3</v>
      </c>
      <c r="CH3" s="10">
        <v>1124942.8999999999</v>
      </c>
      <c r="CI3" s="10">
        <v>973721.7</v>
      </c>
      <c r="CJ3" s="10">
        <v>834884.70000000007</v>
      </c>
      <c r="CK3" s="10">
        <v>953683.39999999991</v>
      </c>
      <c r="CL3" s="10">
        <v>944690.10000000009</v>
      </c>
      <c r="CM3" s="10">
        <v>973905.3</v>
      </c>
      <c r="CN3" s="10">
        <v>980445.6</v>
      </c>
      <c r="CO3" s="10">
        <v>1050165.8999999999</v>
      </c>
    </row>
    <row r="4" spans="1:93" s="12" customFormat="1" x14ac:dyDescent="0.2">
      <c r="A4" s="9" t="s">
        <v>23</v>
      </c>
      <c r="B4" s="10">
        <v>351.29569763000006</v>
      </c>
      <c r="C4" s="10">
        <v>327.76971017</v>
      </c>
      <c r="D4" s="10">
        <v>370.93104815000004</v>
      </c>
      <c r="E4" s="10">
        <v>343.39000000000004</v>
      </c>
      <c r="F4" s="10">
        <v>348.02061135999998</v>
      </c>
      <c r="G4" s="10">
        <v>344.32518901000003</v>
      </c>
      <c r="H4" s="10">
        <v>352.03075376999999</v>
      </c>
      <c r="I4" s="10">
        <v>355.66330225000002</v>
      </c>
      <c r="J4" s="10">
        <v>392.85482065999997</v>
      </c>
      <c r="K4" s="10">
        <v>428.79091397999997</v>
      </c>
      <c r="L4" s="10">
        <v>440.23449531</v>
      </c>
      <c r="M4" s="11">
        <v>400.28964318999994</v>
      </c>
      <c r="N4" s="10">
        <v>420.39318545999998</v>
      </c>
      <c r="O4" s="10">
        <v>434.28225873999997</v>
      </c>
      <c r="P4" s="10">
        <v>425.20392327000002</v>
      </c>
      <c r="Q4" s="10">
        <v>446.21579792999995</v>
      </c>
      <c r="R4" s="10">
        <v>433.91593196999997</v>
      </c>
      <c r="S4" s="10">
        <v>493.06382944000006</v>
      </c>
      <c r="T4" s="10">
        <v>519.11996570999997</v>
      </c>
      <c r="U4" s="10">
        <v>521.64471679999997</v>
      </c>
      <c r="V4" s="10">
        <v>514.25560034</v>
      </c>
      <c r="W4" s="10">
        <v>525.38447704999999</v>
      </c>
      <c r="X4" s="10">
        <v>530.45198702999994</v>
      </c>
      <c r="Y4" s="11">
        <v>552.75429037000004</v>
      </c>
      <c r="Z4" s="10">
        <v>623.21518968999999</v>
      </c>
      <c r="AA4" s="10">
        <v>631.97927747999995</v>
      </c>
      <c r="AB4" s="10">
        <v>861.82500000000005</v>
      </c>
      <c r="AC4" s="10">
        <v>893.44700000000012</v>
      </c>
      <c r="AD4" s="10">
        <v>801.82084354000006</v>
      </c>
      <c r="AE4" s="10">
        <v>811.64347505000001</v>
      </c>
      <c r="AF4" s="10">
        <v>863.44633772000009</v>
      </c>
      <c r="AG4" s="10">
        <v>907.32067396999992</v>
      </c>
      <c r="AH4" s="10">
        <v>1041.3080516500002</v>
      </c>
      <c r="AI4" s="10">
        <v>1111.2663912700011</v>
      </c>
      <c r="AJ4" s="10">
        <v>1222.5504579199999</v>
      </c>
      <c r="AK4" s="11">
        <v>1327.3173042799983</v>
      </c>
      <c r="AL4" s="10">
        <v>1229.0060410799999</v>
      </c>
      <c r="AM4" s="10">
        <v>1205.6260645799998</v>
      </c>
      <c r="AN4" s="10">
        <v>1535.7668676300002</v>
      </c>
      <c r="AO4" s="10">
        <v>1303.3324060799996</v>
      </c>
      <c r="AP4" s="10">
        <v>1384.8492812500003</v>
      </c>
      <c r="AQ4" s="10">
        <v>2108.2636048300005</v>
      </c>
      <c r="AR4" s="10">
        <v>1745.9278288999992</v>
      </c>
      <c r="AS4" s="10">
        <v>2177.7441427100007</v>
      </c>
      <c r="AT4" s="10">
        <v>2262.9316520999982</v>
      </c>
      <c r="AU4" s="10">
        <v>2194.9974127200012</v>
      </c>
      <c r="AV4" s="10">
        <v>2494.2676275699996</v>
      </c>
      <c r="AW4" s="11">
        <v>2489.5070705499993</v>
      </c>
      <c r="AX4" s="10">
        <v>2652.4489478499995</v>
      </c>
      <c r="AY4" s="10">
        <v>2433.6359681899999</v>
      </c>
      <c r="AZ4" s="10">
        <v>3045.7955068099996</v>
      </c>
      <c r="BA4" s="10">
        <v>3393.9106698400019</v>
      </c>
      <c r="BB4" s="10">
        <v>3496.6057628199987</v>
      </c>
      <c r="BC4" s="10">
        <v>4019.8485342300014</v>
      </c>
      <c r="BD4" s="10">
        <v>4766.57108702</v>
      </c>
      <c r="BE4" s="10">
        <v>5040.5635300000004</v>
      </c>
      <c r="BF4" s="10">
        <v>5261.2498599999999</v>
      </c>
      <c r="BG4" s="10">
        <v>5776.3006124600024</v>
      </c>
      <c r="BH4" s="10">
        <v>6736.9596580099969</v>
      </c>
      <c r="BI4" s="11">
        <v>6437.4897915900019</v>
      </c>
      <c r="BJ4" s="10">
        <v>9011.03500618</v>
      </c>
      <c r="BK4" s="10">
        <v>10267.63395867</v>
      </c>
      <c r="BL4" s="10">
        <v>10863.911794470001</v>
      </c>
      <c r="BM4" s="10">
        <v>11811.181846109999</v>
      </c>
      <c r="BN4" s="10">
        <v>13426.90487812</v>
      </c>
      <c r="BO4" s="10">
        <v>13425.773589539998</v>
      </c>
      <c r="BP4" s="10">
        <v>13214.96399416</v>
      </c>
      <c r="BQ4" s="10">
        <v>14299.03842447</v>
      </c>
      <c r="BR4" s="10">
        <v>15255.17960152</v>
      </c>
      <c r="BS4" s="10">
        <v>16171.936993219999</v>
      </c>
      <c r="BT4" s="10">
        <v>17650.753494149998</v>
      </c>
      <c r="BU4" s="11">
        <v>16453.72078689</v>
      </c>
      <c r="BV4" s="10">
        <v>18336.23873547</v>
      </c>
      <c r="BW4" s="10">
        <v>16432.214010240001</v>
      </c>
      <c r="BX4" s="10">
        <v>16871.125906550002</v>
      </c>
      <c r="BY4" s="10">
        <v>18024.178827989999</v>
      </c>
      <c r="BZ4" s="10">
        <v>19390.639509100001</v>
      </c>
      <c r="CA4" s="10">
        <v>18696.302141910001</v>
      </c>
      <c r="CB4" s="10">
        <v>19169.052737859998</v>
      </c>
      <c r="CC4" s="10">
        <v>18736.379354920002</v>
      </c>
      <c r="CD4" s="10">
        <v>19756.7229659</v>
      </c>
      <c r="CE4" s="10">
        <v>21018.335739490001</v>
      </c>
      <c r="CF4" s="10">
        <v>19752.246307899997</v>
      </c>
      <c r="CG4" s="11">
        <v>19101.915401000006</v>
      </c>
      <c r="CH4" s="10">
        <v>23332.945585588004</v>
      </c>
      <c r="CI4" s="10">
        <v>20973.172421800002</v>
      </c>
      <c r="CJ4" s="10">
        <v>22667.205209750002</v>
      </c>
      <c r="CK4" s="10">
        <v>24745.498134870002</v>
      </c>
      <c r="CL4" s="10">
        <v>23439.127803380001</v>
      </c>
      <c r="CM4" s="10">
        <v>23912.582233989997</v>
      </c>
      <c r="CN4" s="10">
        <v>26317.41512197</v>
      </c>
      <c r="CO4" s="10">
        <v>23795.668254699998</v>
      </c>
    </row>
    <row r="5" spans="1:93" s="12" customFormat="1" x14ac:dyDescent="0.2">
      <c r="A5" s="9" t="s">
        <v>5</v>
      </c>
      <c r="B5" s="10">
        <v>943.19062665000001</v>
      </c>
      <c r="C5" s="10">
        <v>818.72453157999985</v>
      </c>
      <c r="D5" s="10">
        <v>782.58333698000001</v>
      </c>
      <c r="E5" s="10">
        <v>818.99580381999999</v>
      </c>
      <c r="F5" s="10">
        <v>857.96345137999992</v>
      </c>
      <c r="G5" s="10">
        <v>863.77643295000007</v>
      </c>
      <c r="H5" s="10">
        <v>957.18626934999998</v>
      </c>
      <c r="I5" s="10">
        <v>996.65939365999986</v>
      </c>
      <c r="J5" s="10">
        <v>1123.29533434</v>
      </c>
      <c r="K5" s="10">
        <v>1029.4889618899999</v>
      </c>
      <c r="L5" s="10">
        <v>1124.06011739</v>
      </c>
      <c r="M5" s="11">
        <v>1100.6441780999999</v>
      </c>
      <c r="N5" s="10">
        <v>1485.25581126</v>
      </c>
      <c r="O5" s="10">
        <v>1276.2675146300001</v>
      </c>
      <c r="P5" s="10">
        <v>1118.5462085199999</v>
      </c>
      <c r="Q5" s="10">
        <v>1069.9301364000003</v>
      </c>
      <c r="R5" s="10">
        <v>1163.6955609199999</v>
      </c>
      <c r="S5" s="10">
        <v>1350.12749973</v>
      </c>
      <c r="T5" s="10">
        <v>1391.05102895</v>
      </c>
      <c r="U5" s="10">
        <v>1513.0975176700001</v>
      </c>
      <c r="V5" s="10">
        <v>1461.0964965000003</v>
      </c>
      <c r="W5" s="10">
        <v>1539.3246668800002</v>
      </c>
      <c r="X5" s="10">
        <v>1662.78193345</v>
      </c>
      <c r="Y5" s="11">
        <v>1670.8208721300002</v>
      </c>
      <c r="Z5" s="10">
        <v>1925.7437696300001</v>
      </c>
      <c r="AA5" s="10">
        <v>1789.9781352799998</v>
      </c>
      <c r="AB5" s="10">
        <v>1882.1980888399996</v>
      </c>
      <c r="AC5" s="10">
        <v>2078.5863343400001</v>
      </c>
      <c r="AD5" s="10">
        <v>2150.7313920799998</v>
      </c>
      <c r="AE5" s="10">
        <v>2283.7711744200001</v>
      </c>
      <c r="AF5" s="10">
        <v>2605.7492110300004</v>
      </c>
      <c r="AG5" s="10">
        <v>2691.67920082</v>
      </c>
      <c r="AH5" s="10">
        <v>2681.1452175500003</v>
      </c>
      <c r="AI5" s="10">
        <v>2805.7674991599997</v>
      </c>
      <c r="AJ5" s="10">
        <v>2920.6716094099997</v>
      </c>
      <c r="AK5" s="11">
        <v>3085.2588102199998</v>
      </c>
      <c r="AL5" s="10">
        <v>3237.8940644599998</v>
      </c>
      <c r="AM5" s="10">
        <v>2991.5296268100001</v>
      </c>
      <c r="AN5" s="10">
        <v>3189.0974454699999</v>
      </c>
      <c r="AO5" s="10">
        <v>3529.3747071800003</v>
      </c>
      <c r="AP5" s="10">
        <v>4049.7521244399995</v>
      </c>
      <c r="AQ5" s="10">
        <v>4338.3328314</v>
      </c>
      <c r="AR5" s="10">
        <v>4807.0841431399995</v>
      </c>
      <c r="AS5" s="10">
        <v>4847.1947425500002</v>
      </c>
      <c r="AT5" s="10">
        <v>5109.0420441200004</v>
      </c>
      <c r="AU5" s="10">
        <v>5587.2008797199996</v>
      </c>
      <c r="AV5" s="10">
        <v>5722.5897066099997</v>
      </c>
      <c r="AW5" s="11">
        <v>6064.624097509999</v>
      </c>
      <c r="AX5" s="10">
        <v>6802.7266573900006</v>
      </c>
      <c r="AY5" s="10">
        <v>6086.9461885699993</v>
      </c>
      <c r="AZ5" s="10">
        <v>6865.2450875000013</v>
      </c>
      <c r="BA5" s="10">
        <v>7228.3</v>
      </c>
      <c r="BB5" s="10">
        <v>8379.0532371099998</v>
      </c>
      <c r="BC5" s="10">
        <v>9075.2492077299994</v>
      </c>
      <c r="BD5" s="10">
        <v>10044.57143134</v>
      </c>
      <c r="BE5" s="10">
        <v>10796.27468167</v>
      </c>
      <c r="BF5" s="10">
        <v>11724.87863005</v>
      </c>
      <c r="BG5" s="10">
        <v>13048.568426290001</v>
      </c>
      <c r="BH5" s="10">
        <v>13522.49800267</v>
      </c>
      <c r="BI5" s="11">
        <v>14608.815716270001</v>
      </c>
      <c r="BJ5" s="10">
        <v>17662.118643729998</v>
      </c>
      <c r="BK5" s="10">
        <v>18712.616778740001</v>
      </c>
      <c r="BL5" s="10">
        <v>20464.55270298</v>
      </c>
      <c r="BM5" s="10">
        <v>21457.624575379999</v>
      </c>
      <c r="BN5" s="10">
        <v>23370.478390849999</v>
      </c>
      <c r="BO5" s="10">
        <v>26239.646196000002</v>
      </c>
      <c r="BP5" s="10">
        <v>29697.472048389998</v>
      </c>
      <c r="BQ5" s="10">
        <v>31673.720942219999</v>
      </c>
      <c r="BR5" s="10">
        <v>32970.86324174</v>
      </c>
      <c r="BS5" s="10">
        <v>32378.983154369998</v>
      </c>
      <c r="BT5" s="10">
        <v>33978.016034510001</v>
      </c>
      <c r="BU5" s="11">
        <v>34515.383753760005</v>
      </c>
      <c r="BV5" s="10">
        <v>38571.272757959996</v>
      </c>
      <c r="BW5" s="10">
        <v>35800.3905113</v>
      </c>
      <c r="BX5" s="10">
        <v>33753.801425190002</v>
      </c>
      <c r="BY5" s="10">
        <v>35555.3966296</v>
      </c>
      <c r="BZ5" s="10">
        <v>38779.879706449996</v>
      </c>
      <c r="CA5" s="10">
        <v>38588.4595558</v>
      </c>
      <c r="CB5" s="10">
        <v>41110.0025647</v>
      </c>
      <c r="CC5" s="10">
        <v>42942.837639359997</v>
      </c>
      <c r="CD5" s="10">
        <v>41390.689532080003</v>
      </c>
      <c r="CE5" s="10">
        <v>42603.92654842</v>
      </c>
      <c r="CF5" s="10">
        <v>42263.134945769998</v>
      </c>
      <c r="CG5" s="11">
        <v>45503.303637789999</v>
      </c>
      <c r="CH5" s="10">
        <v>53382.837634870004</v>
      </c>
      <c r="CI5" s="10">
        <v>47320.404727319998</v>
      </c>
      <c r="CJ5" s="10">
        <v>43880.078346000002</v>
      </c>
      <c r="CK5" s="10">
        <v>45869.569375339997</v>
      </c>
      <c r="CL5" s="10">
        <v>46798.854855220001</v>
      </c>
      <c r="CM5" s="10">
        <v>50190.389315449997</v>
      </c>
      <c r="CN5" s="10">
        <v>56675.629217000002</v>
      </c>
      <c r="CO5" s="10">
        <v>55139.167066169997</v>
      </c>
    </row>
    <row r="6" spans="1:93" s="12" customFormat="1" x14ac:dyDescent="0.2">
      <c r="A6" s="9" t="s">
        <v>55</v>
      </c>
      <c r="B6" s="10">
        <v>1222</v>
      </c>
      <c r="C6" s="10">
        <v>1085</v>
      </c>
      <c r="D6" s="10">
        <v>1124</v>
      </c>
      <c r="E6" s="10">
        <v>1197</v>
      </c>
      <c r="F6" s="10">
        <v>1280</v>
      </c>
      <c r="G6" s="10">
        <v>1168</v>
      </c>
      <c r="H6" s="10">
        <v>1252</v>
      </c>
      <c r="I6" s="10">
        <v>1374</v>
      </c>
      <c r="J6" s="10">
        <v>1357</v>
      </c>
      <c r="K6" s="10">
        <v>1528</v>
      </c>
      <c r="L6" s="10">
        <v>1551</v>
      </c>
      <c r="M6" s="11">
        <v>1402</v>
      </c>
      <c r="N6" s="10">
        <v>1571</v>
      </c>
      <c r="O6" s="10">
        <v>1629</v>
      </c>
      <c r="P6" s="10">
        <v>1456</v>
      </c>
      <c r="Q6" s="10">
        <v>1233</v>
      </c>
      <c r="R6" s="10">
        <v>1184</v>
      </c>
      <c r="S6" s="10">
        <v>1281</v>
      </c>
      <c r="T6" s="10">
        <v>1232</v>
      </c>
      <c r="U6" s="10">
        <v>1258</v>
      </c>
      <c r="V6" s="10">
        <v>1629</v>
      </c>
      <c r="W6" s="10">
        <v>1809</v>
      </c>
      <c r="X6" s="10">
        <v>1837</v>
      </c>
      <c r="Y6" s="11">
        <v>1841</v>
      </c>
      <c r="Z6" s="10">
        <v>2198</v>
      </c>
      <c r="AA6" s="10">
        <v>2051</v>
      </c>
      <c r="AB6" s="10">
        <v>2238</v>
      </c>
      <c r="AC6" s="10">
        <v>2440</v>
      </c>
      <c r="AD6" s="10">
        <v>2584</v>
      </c>
      <c r="AE6" s="10">
        <v>2666</v>
      </c>
      <c r="AF6" s="10">
        <v>2836</v>
      </c>
      <c r="AG6" s="10">
        <v>2892</v>
      </c>
      <c r="AH6" s="10">
        <v>3045</v>
      </c>
      <c r="AI6" s="10">
        <v>2914</v>
      </c>
      <c r="AJ6" s="10">
        <v>3058</v>
      </c>
      <c r="AK6" s="11">
        <v>3263</v>
      </c>
      <c r="AL6" s="10">
        <v>3566</v>
      </c>
      <c r="AM6" s="10">
        <v>3135</v>
      </c>
      <c r="AN6" s="10">
        <v>3362</v>
      </c>
      <c r="AO6" s="10">
        <v>3780</v>
      </c>
      <c r="AP6" s="10">
        <v>3750</v>
      </c>
      <c r="AQ6" s="10">
        <v>4012</v>
      </c>
      <c r="AR6" s="10">
        <v>4956</v>
      </c>
      <c r="AS6" s="10">
        <v>5054</v>
      </c>
      <c r="AT6" s="10">
        <v>5519</v>
      </c>
      <c r="AU6" s="10">
        <v>5535</v>
      </c>
      <c r="AV6" s="10">
        <v>5974</v>
      </c>
      <c r="AW6" s="11">
        <v>6719</v>
      </c>
      <c r="AX6" s="10">
        <v>7897</v>
      </c>
      <c r="AY6" s="10">
        <v>7214</v>
      </c>
      <c r="AZ6" s="10">
        <v>7706</v>
      </c>
      <c r="BA6" s="10">
        <v>8881</v>
      </c>
      <c r="BB6" s="10">
        <v>9289</v>
      </c>
      <c r="BC6" s="10">
        <v>8982</v>
      </c>
      <c r="BD6" s="10">
        <v>10751</v>
      </c>
      <c r="BE6" s="10">
        <v>12540</v>
      </c>
      <c r="BF6" s="10">
        <v>13022</v>
      </c>
      <c r="BG6" s="10">
        <v>15184</v>
      </c>
      <c r="BH6" s="10">
        <v>14835</v>
      </c>
      <c r="BI6" s="11">
        <v>16742</v>
      </c>
      <c r="BJ6" s="10">
        <v>24429</v>
      </c>
      <c r="BK6" s="10">
        <v>28165</v>
      </c>
      <c r="BL6" s="10">
        <v>27403</v>
      </c>
      <c r="BM6" s="10">
        <v>29604</v>
      </c>
      <c r="BN6" s="10">
        <v>31552</v>
      </c>
      <c r="BO6" s="10">
        <v>36380</v>
      </c>
      <c r="BP6" s="10">
        <v>34156</v>
      </c>
      <c r="BQ6" s="10">
        <v>36408</v>
      </c>
      <c r="BR6" s="10">
        <v>36669</v>
      </c>
      <c r="BS6" s="10">
        <v>38223</v>
      </c>
      <c r="BT6" s="10">
        <v>40722</v>
      </c>
      <c r="BU6" s="11">
        <v>42342</v>
      </c>
      <c r="BV6" s="10">
        <v>48609</v>
      </c>
      <c r="BW6" s="10">
        <v>44540</v>
      </c>
      <c r="BX6" s="10">
        <v>43308</v>
      </c>
      <c r="BY6" s="10">
        <v>44639</v>
      </c>
      <c r="BZ6" s="10">
        <v>46392</v>
      </c>
      <c r="CA6" s="10">
        <v>47642</v>
      </c>
      <c r="CB6" s="10">
        <v>51893</v>
      </c>
      <c r="CC6" s="10">
        <v>53369</v>
      </c>
      <c r="CD6" s="10">
        <v>52717</v>
      </c>
      <c r="CE6" s="10">
        <v>57672</v>
      </c>
      <c r="CF6" s="10">
        <v>51628</v>
      </c>
      <c r="CG6" s="11">
        <v>58194</v>
      </c>
      <c r="CH6" s="10">
        <v>74710</v>
      </c>
      <c r="CI6" s="10">
        <v>57269</v>
      </c>
      <c r="CJ6" s="10">
        <v>61598</v>
      </c>
      <c r="CK6" s="10">
        <v>60290</v>
      </c>
      <c r="CL6" s="10">
        <v>59655</v>
      </c>
      <c r="CM6" s="10">
        <v>60048</v>
      </c>
      <c r="CN6" s="10">
        <v>70301</v>
      </c>
      <c r="CO6" s="10">
        <v>65116</v>
      </c>
    </row>
    <row r="7" spans="1:93" s="12" customFormat="1" x14ac:dyDescent="0.2">
      <c r="A7" s="9" t="s">
        <v>6</v>
      </c>
      <c r="B7" s="10">
        <v>6585.9406879999997</v>
      </c>
      <c r="C7" s="10">
        <v>7664.4590899999994</v>
      </c>
      <c r="D7" s="10">
        <v>7094.6232049999999</v>
      </c>
      <c r="E7" s="10">
        <v>6748.7778779999999</v>
      </c>
      <c r="F7" s="10">
        <v>7553.7562399999997</v>
      </c>
      <c r="G7" s="10">
        <v>6635.7542739999999</v>
      </c>
      <c r="H7" s="10">
        <v>7149.6188459999994</v>
      </c>
      <c r="I7" s="10">
        <v>7865.0803579999993</v>
      </c>
      <c r="J7" s="10">
        <v>8016.4445920000007</v>
      </c>
      <c r="K7" s="10">
        <v>8129.8389280000001</v>
      </c>
      <c r="L7" s="10">
        <v>8268.1294679999992</v>
      </c>
      <c r="M7" s="11">
        <v>8253.8273960000006</v>
      </c>
      <c r="N7" s="10">
        <v>9876.9331079999993</v>
      </c>
      <c r="O7" s="10">
        <v>11322.622007</v>
      </c>
      <c r="P7" s="10">
        <v>8859.1568899999984</v>
      </c>
      <c r="Q7" s="10">
        <v>8084.6301549999998</v>
      </c>
      <c r="R7" s="10">
        <v>8847.988037000001</v>
      </c>
      <c r="S7" s="10">
        <v>8979.0266429999992</v>
      </c>
      <c r="T7" s="10">
        <v>9488.188094000001</v>
      </c>
      <c r="U7" s="10">
        <v>10227.534826999998</v>
      </c>
      <c r="V7" s="10">
        <v>10582.195821000001</v>
      </c>
      <c r="W7" s="10">
        <v>10667.067504000002</v>
      </c>
      <c r="X7" s="10">
        <v>11104.671903999999</v>
      </c>
      <c r="Y7" s="11">
        <v>11686.008606000001</v>
      </c>
      <c r="Z7" s="10">
        <v>13846.633450999998</v>
      </c>
      <c r="AA7" s="10">
        <v>15614.327571</v>
      </c>
      <c r="AB7" s="10">
        <v>14801.589443000003</v>
      </c>
      <c r="AC7" s="10">
        <v>15217.280553999999</v>
      </c>
      <c r="AD7" s="10">
        <v>18041.554080999998</v>
      </c>
      <c r="AE7" s="10">
        <v>15141.908372</v>
      </c>
      <c r="AF7" s="10">
        <v>15974.796547</v>
      </c>
      <c r="AG7" s="10">
        <v>17612.127441999997</v>
      </c>
      <c r="AH7" s="10">
        <v>17832.914412999999</v>
      </c>
      <c r="AI7" s="10">
        <v>17677.322455000001</v>
      </c>
      <c r="AJ7" s="10">
        <v>19022.432702000002</v>
      </c>
      <c r="AK7" s="11">
        <v>20047.550944999999</v>
      </c>
      <c r="AL7" s="10">
        <v>22140.841570000001</v>
      </c>
      <c r="AM7" s="10">
        <v>23798.768794</v>
      </c>
      <c r="AN7" s="10">
        <v>22781.034344</v>
      </c>
      <c r="AO7" s="10">
        <v>24113.035636000001</v>
      </c>
      <c r="AP7" s="10">
        <v>30462.202454000002</v>
      </c>
      <c r="AQ7" s="10">
        <v>26544.984524</v>
      </c>
      <c r="AR7" s="10">
        <v>29032.784339999998</v>
      </c>
      <c r="AS7" s="10">
        <v>30275.891778000001</v>
      </c>
      <c r="AT7" s="10">
        <v>32125.770464999998</v>
      </c>
      <c r="AU7" s="10">
        <v>32522.375171</v>
      </c>
      <c r="AV7" s="10">
        <v>34068.874394999999</v>
      </c>
      <c r="AW7" s="11">
        <v>35045.644120999998</v>
      </c>
      <c r="AX7" s="10">
        <v>40879.493471000002</v>
      </c>
      <c r="AY7" s="10">
        <v>41500.307314000005</v>
      </c>
      <c r="AZ7" s="10">
        <v>44257.501992000005</v>
      </c>
      <c r="BA7" s="10">
        <v>45597.550310999999</v>
      </c>
      <c r="BB7" s="10">
        <v>59047.401046999992</v>
      </c>
      <c r="BC7" s="10">
        <v>53704.885468000008</v>
      </c>
      <c r="BD7" s="10">
        <v>57695.852056000003</v>
      </c>
      <c r="BE7" s="10">
        <v>65144.968128</v>
      </c>
      <c r="BF7" s="10">
        <v>70728.438139999998</v>
      </c>
      <c r="BG7" s="10">
        <v>81074.466965</v>
      </c>
      <c r="BH7" s="10">
        <v>87434.10833599999</v>
      </c>
      <c r="BI7" s="11">
        <v>94216.660466000001</v>
      </c>
      <c r="BJ7" s="10">
        <v>131734.58794299999</v>
      </c>
      <c r="BK7" s="10">
        <v>175734.51813199997</v>
      </c>
      <c r="BL7" s="10">
        <v>165774.69225700002</v>
      </c>
      <c r="BM7" s="10">
        <v>169084.83110899999</v>
      </c>
      <c r="BN7" s="10">
        <v>177016.287786</v>
      </c>
      <c r="BO7" s="10">
        <v>182312.10157299999</v>
      </c>
      <c r="BP7" s="10">
        <v>181787.9178</v>
      </c>
      <c r="BQ7" s="10">
        <v>207233.26770900001</v>
      </c>
      <c r="BR7" s="10">
        <v>210689.99326400002</v>
      </c>
      <c r="BS7" s="10">
        <v>212882.648028</v>
      </c>
      <c r="BT7" s="10">
        <v>219549.524726</v>
      </c>
      <c r="BU7" s="11">
        <v>218358.02266300001</v>
      </c>
      <c r="BV7" s="10">
        <v>250196.692232</v>
      </c>
      <c r="BW7" s="10">
        <v>327689.10148199997</v>
      </c>
      <c r="BX7" s="10">
        <v>278105.96059699997</v>
      </c>
      <c r="BY7" s="10">
        <v>272980.67897100002</v>
      </c>
      <c r="BZ7" s="10">
        <v>312489.53128600004</v>
      </c>
      <c r="CA7" s="10">
        <v>291838.361409</v>
      </c>
      <c r="CB7" s="10">
        <v>305415.29465600004</v>
      </c>
      <c r="CC7" s="10">
        <v>323243.17066999996</v>
      </c>
      <c r="CD7" s="10">
        <v>302231.79225100001</v>
      </c>
      <c r="CE7" s="10">
        <v>316399.69007900002</v>
      </c>
      <c r="CF7" s="10">
        <v>300963.03451599996</v>
      </c>
      <c r="CG7" s="11">
        <v>352803.01829600002</v>
      </c>
      <c r="CH7" s="10">
        <v>379862.64568399999</v>
      </c>
      <c r="CI7" s="10">
        <v>382541.58508199995</v>
      </c>
      <c r="CJ7" s="10">
        <v>374801.14761797996</v>
      </c>
      <c r="CK7" s="10">
        <v>378991.50160000002</v>
      </c>
      <c r="CL7" s="10">
        <v>414439.31108199997</v>
      </c>
      <c r="CM7" s="10">
        <v>368427.53703200002</v>
      </c>
      <c r="CN7" s="10">
        <v>359489.65609599999</v>
      </c>
      <c r="CO7" s="10">
        <v>363399.76602400001</v>
      </c>
    </row>
    <row r="8" spans="1:93" s="12" customFormat="1" x14ac:dyDescent="0.2">
      <c r="A8" s="9" t="s">
        <v>52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1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24</v>
      </c>
      <c r="V8" s="10" t="s">
        <v>24</v>
      </c>
      <c r="W8" s="10" t="s">
        <v>24</v>
      </c>
      <c r="X8" s="10" t="s">
        <v>24</v>
      </c>
      <c r="Y8" s="11" t="s">
        <v>24</v>
      </c>
      <c r="Z8" s="10" t="s">
        <v>24</v>
      </c>
      <c r="AA8" s="10" t="s">
        <v>24</v>
      </c>
      <c r="AB8" s="10" t="s">
        <v>24</v>
      </c>
      <c r="AC8" s="10" t="s">
        <v>24</v>
      </c>
      <c r="AD8" s="10" t="s">
        <v>24</v>
      </c>
      <c r="AE8" s="10" t="s">
        <v>24</v>
      </c>
      <c r="AF8" s="10" t="s">
        <v>24</v>
      </c>
      <c r="AG8" s="10" t="s">
        <v>24</v>
      </c>
      <c r="AH8" s="10" t="s">
        <v>24</v>
      </c>
      <c r="AI8" s="10" t="s">
        <v>24</v>
      </c>
      <c r="AJ8" s="10" t="s">
        <v>24</v>
      </c>
      <c r="AK8" s="11" t="s">
        <v>24</v>
      </c>
      <c r="AL8" s="10" t="s">
        <v>24</v>
      </c>
      <c r="AM8" s="10" t="s">
        <v>24</v>
      </c>
      <c r="AN8" s="10" t="s">
        <v>24</v>
      </c>
      <c r="AO8" s="10" t="s">
        <v>24</v>
      </c>
      <c r="AP8" s="10" t="s">
        <v>24</v>
      </c>
      <c r="AQ8" s="10" t="s">
        <v>24</v>
      </c>
      <c r="AR8" s="10" t="s">
        <v>24</v>
      </c>
      <c r="AS8" s="10" t="s">
        <v>24</v>
      </c>
      <c r="AT8" s="10" t="s">
        <v>24</v>
      </c>
      <c r="AU8" s="10" t="s">
        <v>24</v>
      </c>
      <c r="AV8" s="10" t="s">
        <v>24</v>
      </c>
      <c r="AW8" s="11" t="s">
        <v>24</v>
      </c>
      <c r="AX8" s="10" t="s">
        <v>24</v>
      </c>
      <c r="AY8" s="10" t="s">
        <v>24</v>
      </c>
      <c r="AZ8" s="10" t="s">
        <v>24</v>
      </c>
      <c r="BA8" s="10" t="s">
        <v>24</v>
      </c>
      <c r="BB8" s="10" t="s">
        <v>24</v>
      </c>
      <c r="BC8" s="10" t="s">
        <v>24</v>
      </c>
      <c r="BD8" s="10" t="s">
        <v>24</v>
      </c>
      <c r="BE8" s="10" t="s">
        <v>24</v>
      </c>
      <c r="BF8" s="10" t="s">
        <v>24</v>
      </c>
      <c r="BG8" s="10" t="s">
        <v>24</v>
      </c>
      <c r="BH8" s="10" t="s">
        <v>24</v>
      </c>
      <c r="BI8" s="11" t="s">
        <v>24</v>
      </c>
      <c r="BJ8" s="10">
        <v>14072.429389914001</v>
      </c>
      <c r="BK8" s="10">
        <v>15169.560658959997</v>
      </c>
      <c r="BL8" s="10">
        <v>15588.336950082999</v>
      </c>
      <c r="BM8" s="10">
        <v>18501.482331790001</v>
      </c>
      <c r="BN8" s="10">
        <v>19399.698874200003</v>
      </c>
      <c r="BO8" s="10">
        <v>20058.657402320001</v>
      </c>
      <c r="BP8" s="10">
        <v>20858.850522869998</v>
      </c>
      <c r="BQ8" s="10">
        <v>25006.505017270003</v>
      </c>
      <c r="BR8" s="10">
        <v>24621.061916753002</v>
      </c>
      <c r="BS8" s="10">
        <v>24934.11665548</v>
      </c>
      <c r="BT8" s="10">
        <v>26185.130785590001</v>
      </c>
      <c r="BU8" s="11">
        <v>26301.25</v>
      </c>
      <c r="BV8" s="10">
        <v>28734.350000000002</v>
      </c>
      <c r="BW8" s="10">
        <v>28538.730028260001</v>
      </c>
      <c r="BX8" s="10">
        <v>27917.879667039997</v>
      </c>
      <c r="BY8" s="10">
        <v>32056.73864598</v>
      </c>
      <c r="BZ8" s="10">
        <v>30922.658049632999</v>
      </c>
      <c r="CA8" s="10">
        <v>31354.434730670004</v>
      </c>
      <c r="CB8" s="10">
        <v>31063.300643340001</v>
      </c>
      <c r="CC8" s="10">
        <v>34884.767924020001</v>
      </c>
      <c r="CD8" s="10">
        <v>33979.572546580006</v>
      </c>
      <c r="CE8" s="10">
        <v>33639.36985303001</v>
      </c>
      <c r="CF8" s="10">
        <v>32248.958336159998</v>
      </c>
      <c r="CG8" s="11">
        <v>33021.937902740006</v>
      </c>
      <c r="CH8" s="10">
        <v>36675.857591569998</v>
      </c>
      <c r="CI8" s="10">
        <v>34887.5518973</v>
      </c>
      <c r="CJ8" s="10">
        <v>34282.886697260008</v>
      </c>
      <c r="CK8" s="10">
        <v>42881.274797450002</v>
      </c>
      <c r="CL8" s="10">
        <v>37981.387271170002</v>
      </c>
      <c r="CM8" s="10">
        <v>40071.711745249988</v>
      </c>
      <c r="CN8" s="10">
        <v>39408.301300610001</v>
      </c>
      <c r="CO8" s="10"/>
    </row>
    <row r="9" spans="1:93" s="12" customFormat="1" x14ac:dyDescent="0.2">
      <c r="A9" s="9" t="s">
        <v>7</v>
      </c>
      <c r="B9" s="10">
        <v>1680.95009</v>
      </c>
      <c r="C9" s="10">
        <v>1941.3999509999999</v>
      </c>
      <c r="D9" s="10">
        <v>2111.466539</v>
      </c>
      <c r="E9" s="10">
        <v>2617.1182790000003</v>
      </c>
      <c r="F9" s="10">
        <v>2167.2347019999997</v>
      </c>
      <c r="G9" s="10">
        <v>2167.6921779999998</v>
      </c>
      <c r="H9" s="10">
        <v>2216.7487499999997</v>
      </c>
      <c r="I9" s="10">
        <v>2094.321332</v>
      </c>
      <c r="J9" s="10">
        <v>2302.683571</v>
      </c>
      <c r="K9" s="10">
        <v>2639.4531889999998</v>
      </c>
      <c r="L9" s="10">
        <v>2373.2330979999997</v>
      </c>
      <c r="M9" s="11">
        <v>2648.7049170000005</v>
      </c>
      <c r="N9" s="10">
        <v>2246.9603870000001</v>
      </c>
      <c r="O9" s="10">
        <v>2949.836675</v>
      </c>
      <c r="P9" s="10">
        <v>2653.1327169999995</v>
      </c>
      <c r="Q9" s="10">
        <v>1776.2468819999997</v>
      </c>
      <c r="R9" s="10">
        <v>2934.1221420000002</v>
      </c>
      <c r="S9" s="10">
        <v>2920.2884509999999</v>
      </c>
      <c r="T9" s="10">
        <v>3042.3672189999997</v>
      </c>
      <c r="U9" s="10">
        <v>2996.4383160000002</v>
      </c>
      <c r="V9" s="10">
        <v>3113.9527870000002</v>
      </c>
      <c r="W9" s="10">
        <v>3548.9809029999997</v>
      </c>
      <c r="X9" s="10">
        <v>3334.6136629999996</v>
      </c>
      <c r="Y9" s="11">
        <v>3720.5499930000001</v>
      </c>
      <c r="Z9" s="10">
        <v>3249.9961649999996</v>
      </c>
      <c r="AA9" s="10">
        <v>4285.624957</v>
      </c>
      <c r="AB9" s="10">
        <v>4509.8593540000002</v>
      </c>
      <c r="AC9" s="10">
        <v>4917.9399999999996</v>
      </c>
      <c r="AD9" s="10">
        <v>4336.2042490000003</v>
      </c>
      <c r="AE9" s="10">
        <v>4872.0617499999989</v>
      </c>
      <c r="AF9" s="10">
        <v>5210.3001180000001</v>
      </c>
      <c r="AG9" s="10">
        <v>5322.2983490000006</v>
      </c>
      <c r="AH9" s="10">
        <v>5594.5760150000006</v>
      </c>
      <c r="AI9" s="10">
        <v>6138.5915850000001</v>
      </c>
      <c r="AJ9" s="10">
        <v>5841.1215500000008</v>
      </c>
      <c r="AK9" s="11">
        <v>6447.5618620000005</v>
      </c>
      <c r="AL9" s="10">
        <v>5561.6080999999995</v>
      </c>
      <c r="AM9" s="10">
        <v>6477.5280990000001</v>
      </c>
      <c r="AN9" s="10">
        <v>7234.9760790000009</v>
      </c>
      <c r="AO9" s="10">
        <v>5949.2095339999996</v>
      </c>
      <c r="AP9" s="10">
        <v>8561.0630970000002</v>
      </c>
      <c r="AQ9" s="10">
        <v>7740.7778100000005</v>
      </c>
      <c r="AR9" s="10">
        <v>8313.6694249999982</v>
      </c>
      <c r="AS9" s="10">
        <v>8517.8939100000007</v>
      </c>
      <c r="AT9" s="10">
        <v>9285.1763800000008</v>
      </c>
      <c r="AU9" s="10">
        <v>10181.952533</v>
      </c>
      <c r="AV9" s="10">
        <v>9756.2069800000008</v>
      </c>
      <c r="AW9" s="11">
        <v>11026.19728</v>
      </c>
      <c r="AX9" s="10">
        <v>10372.882232999998</v>
      </c>
      <c r="AY9" s="10">
        <v>11700.824987</v>
      </c>
      <c r="AZ9" s="10">
        <v>13869.089434</v>
      </c>
      <c r="BA9" s="10">
        <v>11799.974213</v>
      </c>
      <c r="BB9" s="10">
        <v>16205.683808</v>
      </c>
      <c r="BC9" s="10">
        <v>15554.158959999999</v>
      </c>
      <c r="BD9" s="10">
        <v>16586.753821999999</v>
      </c>
      <c r="BE9" s="10">
        <v>18799.919469</v>
      </c>
      <c r="BF9" s="10">
        <v>21294.817521999998</v>
      </c>
      <c r="BG9" s="10">
        <v>23421.449298</v>
      </c>
      <c r="BH9" s="10">
        <v>25176.720953999997</v>
      </c>
      <c r="BI9" s="11">
        <v>27684.134067999999</v>
      </c>
      <c r="BJ9" s="10">
        <v>32376.140884</v>
      </c>
      <c r="BK9" s="10">
        <v>33136.792186999999</v>
      </c>
      <c r="BL9" s="10">
        <v>36260.870783999999</v>
      </c>
      <c r="BM9" s="10">
        <v>47202.371467999998</v>
      </c>
      <c r="BN9" s="10">
        <v>61325.902248999999</v>
      </c>
      <c r="BO9" s="10">
        <v>50751.624424000001</v>
      </c>
      <c r="BP9" s="10">
        <v>60662.572081999999</v>
      </c>
      <c r="BQ9" s="10">
        <v>56630.649090999999</v>
      </c>
      <c r="BR9" s="10">
        <v>60155.661866000002</v>
      </c>
      <c r="BS9" s="10">
        <v>59172.592067999998</v>
      </c>
      <c r="BT9" s="10">
        <v>61164.081697000001</v>
      </c>
      <c r="BU9" s="11">
        <v>62273.920974000001</v>
      </c>
      <c r="BV9" s="10">
        <v>60611.284416000002</v>
      </c>
      <c r="BW9" s="10">
        <v>56926.820725999998</v>
      </c>
      <c r="BX9" s="10">
        <v>73431.183418000001</v>
      </c>
      <c r="BY9" s="10">
        <v>75444.237760000004</v>
      </c>
      <c r="BZ9" s="10">
        <v>94545.993791999994</v>
      </c>
      <c r="CA9" s="10">
        <v>77348.220153000002</v>
      </c>
      <c r="CB9" s="10">
        <v>90239.404708999995</v>
      </c>
      <c r="CC9" s="10">
        <v>83455.127177000002</v>
      </c>
      <c r="CD9" s="10">
        <v>92340.689419999995</v>
      </c>
      <c r="CE9" s="10">
        <v>98257.182291000005</v>
      </c>
      <c r="CF9" s="10">
        <v>88651.524747999996</v>
      </c>
      <c r="CG9" s="11">
        <v>97364.229030999995</v>
      </c>
      <c r="CH9" s="10">
        <v>87247.694633000006</v>
      </c>
      <c r="CI9" s="10">
        <v>97862.766545999999</v>
      </c>
      <c r="CJ9" s="10">
        <v>85205.289063000004</v>
      </c>
      <c r="CK9" s="10">
        <v>120566.05431000001</v>
      </c>
      <c r="CL9" s="10">
        <v>125713.911098</v>
      </c>
      <c r="CM9" s="10">
        <v>100416.752398</v>
      </c>
      <c r="CN9" s="10">
        <v>118601.237951</v>
      </c>
      <c r="CO9" s="10">
        <v>104652.424189</v>
      </c>
    </row>
    <row r="10" spans="1:93" s="12" customFormat="1" x14ac:dyDescent="0.2">
      <c r="A10" s="9" t="s">
        <v>8</v>
      </c>
      <c r="B10" s="10">
        <v>265.12980983</v>
      </c>
      <c r="C10" s="10">
        <v>289.66041201999997</v>
      </c>
      <c r="D10" s="10">
        <v>280.26161439999998</v>
      </c>
      <c r="E10" s="10">
        <v>293.8505811</v>
      </c>
      <c r="F10" s="10">
        <v>310.13555471000001</v>
      </c>
      <c r="G10" s="10">
        <v>315.60277071000002</v>
      </c>
      <c r="H10" s="10">
        <v>307.62958862000005</v>
      </c>
      <c r="I10" s="10">
        <v>345.44646971999998</v>
      </c>
      <c r="J10" s="10">
        <v>350.72909891999996</v>
      </c>
      <c r="K10" s="10">
        <v>338.05382236999998</v>
      </c>
      <c r="L10" s="10">
        <v>366.10381086000001</v>
      </c>
      <c r="M10" s="11">
        <v>366.11215495000005</v>
      </c>
      <c r="N10" s="10">
        <v>367.19862014</v>
      </c>
      <c r="O10" s="10">
        <v>382.36475361999999</v>
      </c>
      <c r="P10" s="10">
        <v>360.59382226999998</v>
      </c>
      <c r="Q10" s="10">
        <v>312.33454331999997</v>
      </c>
      <c r="R10" s="10">
        <v>314.07283976000002</v>
      </c>
      <c r="S10" s="10">
        <v>371.68994101999999</v>
      </c>
      <c r="T10" s="10">
        <v>402.66529729000007</v>
      </c>
      <c r="U10" s="10">
        <v>441.64963693000004</v>
      </c>
      <c r="V10" s="10">
        <v>456.53455842</v>
      </c>
      <c r="W10" s="10">
        <v>488.30648340000005</v>
      </c>
      <c r="X10" s="10">
        <v>524.19867388</v>
      </c>
      <c r="Y10" s="11">
        <v>547.65931881999995</v>
      </c>
      <c r="Z10" s="10">
        <v>588.8629264299999</v>
      </c>
      <c r="AA10" s="10">
        <v>581.38934020000011</v>
      </c>
      <c r="AB10" s="10">
        <v>705.41542624999988</v>
      </c>
      <c r="AC10" s="10">
        <v>746.75</v>
      </c>
      <c r="AD10" s="10">
        <v>738.98283505000006</v>
      </c>
      <c r="AE10" s="10">
        <v>722.70508246999998</v>
      </c>
      <c r="AF10" s="10">
        <v>779.04660583999998</v>
      </c>
      <c r="AG10" s="10">
        <v>906.35619128999997</v>
      </c>
      <c r="AH10" s="10">
        <v>975.10468353999988</v>
      </c>
      <c r="AI10" s="10">
        <v>976.36244269000008</v>
      </c>
      <c r="AJ10" s="10">
        <v>1077.48525475</v>
      </c>
      <c r="AK10" s="11">
        <v>1055.15834247</v>
      </c>
      <c r="AL10" s="10">
        <v>1192.5462575199999</v>
      </c>
      <c r="AM10" s="10">
        <v>1074.5272948700001</v>
      </c>
      <c r="AN10" s="10">
        <v>1177.5424021200001</v>
      </c>
      <c r="AO10" s="10">
        <v>1358.6219492499999</v>
      </c>
      <c r="AP10" s="10">
        <v>1417.7719906400002</v>
      </c>
      <c r="AQ10" s="10">
        <v>1474.5473714299999</v>
      </c>
      <c r="AR10" s="10">
        <v>1715.8009441499999</v>
      </c>
      <c r="AS10" s="10">
        <v>1775.9435113199997</v>
      </c>
      <c r="AT10" s="10">
        <v>1999.5664533699999</v>
      </c>
      <c r="AU10" s="10">
        <v>1936.2195887600001</v>
      </c>
      <c r="AV10" s="10">
        <v>2040.91599821</v>
      </c>
      <c r="AW10" s="11">
        <v>2266.2684490900001</v>
      </c>
      <c r="AX10" s="10">
        <v>2355.16592752</v>
      </c>
      <c r="AY10" s="10">
        <v>2288.6543878900002</v>
      </c>
      <c r="AZ10" s="10">
        <v>2583.48521992</v>
      </c>
      <c r="BA10" s="10">
        <v>2773.5360574000006</v>
      </c>
      <c r="BB10" s="10">
        <v>2971.1807534900004</v>
      </c>
      <c r="BC10" s="10">
        <v>3215.3233003800001</v>
      </c>
      <c r="BD10" s="10">
        <v>3632.4131423000003</v>
      </c>
      <c r="BE10" s="10">
        <v>4076.2093149699999</v>
      </c>
      <c r="BF10" s="10">
        <v>4345.6830685300001</v>
      </c>
      <c r="BG10" s="10">
        <v>4449.8718038899997</v>
      </c>
      <c r="BH10" s="10">
        <v>4806.7260998199999</v>
      </c>
      <c r="BI10" s="11">
        <v>5257.1045335300005</v>
      </c>
      <c r="BJ10" s="10">
        <v>5779.3638580300003</v>
      </c>
      <c r="BK10" s="10">
        <v>5536.7561512899993</v>
      </c>
      <c r="BL10" s="10">
        <v>6893.4582140800003</v>
      </c>
      <c r="BM10" s="10">
        <v>6796.8085645600004</v>
      </c>
      <c r="BN10" s="10">
        <v>7773.08720954</v>
      </c>
      <c r="BO10" s="10">
        <v>9150.8298695599988</v>
      </c>
      <c r="BP10" s="10">
        <v>8812.8324683799983</v>
      </c>
      <c r="BQ10" s="10">
        <v>11039.929975570001</v>
      </c>
      <c r="BR10" s="10">
        <v>10508.73856905</v>
      </c>
      <c r="BS10" s="10">
        <v>10550.934621299999</v>
      </c>
      <c r="BT10" s="10">
        <v>11299.270978879998</v>
      </c>
      <c r="BU10" s="11">
        <v>11901.64782118</v>
      </c>
      <c r="BV10" s="10">
        <v>11602.10920332</v>
      </c>
      <c r="BW10" s="10">
        <v>12973.39940387</v>
      </c>
      <c r="BX10" s="10">
        <v>12691.800420219999</v>
      </c>
      <c r="BY10" s="10">
        <v>13214.462981950001</v>
      </c>
      <c r="BZ10" s="10">
        <v>13786.963770259999</v>
      </c>
      <c r="CA10" s="10">
        <v>13852.898787260001</v>
      </c>
      <c r="CB10" s="10">
        <v>14213.31969294</v>
      </c>
      <c r="CC10" s="10">
        <v>15435.0587249</v>
      </c>
      <c r="CD10" s="10">
        <v>14849.6347754</v>
      </c>
      <c r="CE10" s="10">
        <v>15396.37109834</v>
      </c>
      <c r="CF10" s="10">
        <v>14386.09756206</v>
      </c>
      <c r="CG10" s="11">
        <v>15015.556981889998</v>
      </c>
      <c r="CH10" s="10">
        <v>15622.65248522</v>
      </c>
      <c r="CI10" s="10">
        <v>15311.048319179999</v>
      </c>
      <c r="CJ10" s="10">
        <v>15059.39198577</v>
      </c>
      <c r="CK10" s="10">
        <v>16479.303308769999</v>
      </c>
      <c r="CL10" s="10">
        <v>19054.4153945</v>
      </c>
      <c r="CM10" s="10">
        <v>18901.155102779998</v>
      </c>
      <c r="CN10" s="10">
        <v>19011.314507490002</v>
      </c>
      <c r="CO10" s="10">
        <v>20484.742745</v>
      </c>
    </row>
    <row r="11" spans="1:93" s="12" customFormat="1" x14ac:dyDescent="0.2">
      <c r="A11" s="9" t="s">
        <v>9</v>
      </c>
      <c r="B11" s="10">
        <v>547.19899999999996</v>
      </c>
      <c r="C11" s="10">
        <v>588.03200000000004</v>
      </c>
      <c r="D11" s="10">
        <v>516.96400000000006</v>
      </c>
      <c r="E11" s="10">
        <v>477.59300000000002</v>
      </c>
      <c r="F11" s="10">
        <v>508.99999999999994</v>
      </c>
      <c r="G11" s="10">
        <v>502.95800000000003</v>
      </c>
      <c r="H11" s="10">
        <v>500.85700000000003</v>
      </c>
      <c r="I11" s="10">
        <v>558.30000000000007</v>
      </c>
      <c r="J11" s="10">
        <v>595.404</v>
      </c>
      <c r="K11" s="10">
        <v>639.30700000000002</v>
      </c>
      <c r="L11" s="10">
        <v>597.54299999999989</v>
      </c>
      <c r="M11" s="11">
        <v>631.90599999999995</v>
      </c>
      <c r="N11" s="10">
        <v>685.06399999999996</v>
      </c>
      <c r="O11" s="10">
        <v>792.13800000000003</v>
      </c>
      <c r="P11" s="10">
        <v>603.24699999999996</v>
      </c>
      <c r="Q11" s="10">
        <v>444.43</v>
      </c>
      <c r="R11" s="10">
        <v>567.63800000000003</v>
      </c>
      <c r="S11" s="10">
        <v>566.45899999999995</v>
      </c>
      <c r="T11" s="10">
        <v>584.34400000000005</v>
      </c>
      <c r="U11" s="10">
        <v>625.46699999999987</v>
      </c>
      <c r="V11" s="10">
        <v>617.47900000000004</v>
      </c>
      <c r="W11" s="10">
        <v>748.81200000000001</v>
      </c>
      <c r="X11" s="10">
        <v>752.85799999999995</v>
      </c>
      <c r="Y11" s="11">
        <v>830.23823799999991</v>
      </c>
      <c r="Z11" s="10">
        <v>1054.806</v>
      </c>
      <c r="AA11" s="10">
        <v>1133.6339999999998</v>
      </c>
      <c r="AB11" s="10">
        <v>1211.461182</v>
      </c>
      <c r="AC11" s="10">
        <v>1196.1295600000001</v>
      </c>
      <c r="AD11" s="10">
        <v>1158.1770429999999</v>
      </c>
      <c r="AE11" s="10">
        <v>1313.8381439999998</v>
      </c>
      <c r="AF11" s="10">
        <v>1343.698085</v>
      </c>
      <c r="AG11" s="10">
        <v>1426.6937160000002</v>
      </c>
      <c r="AH11" s="10">
        <v>1481.9905590000001</v>
      </c>
      <c r="AI11" s="10">
        <v>1512.4324659999997</v>
      </c>
      <c r="AJ11" s="10">
        <v>1599.4274850000002</v>
      </c>
      <c r="AK11" s="11">
        <v>1714.9383950000001</v>
      </c>
      <c r="AL11" s="10">
        <v>1940.9646749999999</v>
      </c>
      <c r="AM11" s="10">
        <v>1981.603887</v>
      </c>
      <c r="AN11" s="10">
        <v>1946.0315800000001</v>
      </c>
      <c r="AO11" s="10">
        <v>2025.428926</v>
      </c>
      <c r="AP11" s="10">
        <v>2188.0386119999998</v>
      </c>
      <c r="AQ11" s="10">
        <v>2214.2970829999999</v>
      </c>
      <c r="AR11" s="10">
        <v>2677.073617</v>
      </c>
      <c r="AS11" s="10">
        <v>2844.938044</v>
      </c>
      <c r="AT11" s="10">
        <v>2826.4302660000003</v>
      </c>
      <c r="AU11" s="10">
        <v>3028.5259470000001</v>
      </c>
      <c r="AV11" s="10">
        <v>3221.535789</v>
      </c>
      <c r="AW11" s="11">
        <v>3413.1882540000001</v>
      </c>
      <c r="AX11" s="10">
        <v>4342.8114459999997</v>
      </c>
      <c r="AY11" s="10">
        <v>4231.9188209999993</v>
      </c>
      <c r="AZ11" s="10">
        <v>4638.1724810000005</v>
      </c>
      <c r="BA11" s="10">
        <v>4749.5222300000005</v>
      </c>
      <c r="BB11" s="10">
        <v>4914.7499960000005</v>
      </c>
      <c r="BC11" s="10">
        <v>5013.9705990000002</v>
      </c>
      <c r="BD11" s="10">
        <v>5930.2528139999995</v>
      </c>
      <c r="BE11" s="10">
        <v>6333.8060600000008</v>
      </c>
      <c r="BF11" s="10">
        <v>7280.762952</v>
      </c>
      <c r="BG11" s="10">
        <v>8053.3988179999997</v>
      </c>
      <c r="BH11" s="10">
        <v>8486.3786679999994</v>
      </c>
      <c r="BI11" s="11">
        <v>9559.4507539999995</v>
      </c>
      <c r="BJ11" s="10">
        <v>13847.018185999999</v>
      </c>
      <c r="BK11" s="10">
        <v>13415.881255</v>
      </c>
      <c r="BL11" s="10">
        <v>13785.799749000002</v>
      </c>
      <c r="BM11" s="10">
        <v>14587.581230000002</v>
      </c>
      <c r="BN11" s="10">
        <v>14808.386152999999</v>
      </c>
      <c r="BO11" s="10">
        <v>15539.573257</v>
      </c>
      <c r="BP11" s="10">
        <v>17166.977081000001</v>
      </c>
      <c r="BQ11" s="10">
        <v>17819.381001000002</v>
      </c>
      <c r="BR11" s="10">
        <v>19578.117083999998</v>
      </c>
      <c r="BS11" s="10">
        <v>19739.947749999999</v>
      </c>
      <c r="BT11" s="10">
        <v>20863.953942</v>
      </c>
      <c r="BU11" s="11">
        <v>21305.762383000001</v>
      </c>
      <c r="BV11" s="10">
        <v>23788.554204</v>
      </c>
      <c r="BW11" s="10">
        <v>24996.321849</v>
      </c>
      <c r="BX11" s="10">
        <v>22963.228866999998</v>
      </c>
      <c r="BY11" s="10">
        <v>23465.507812</v>
      </c>
      <c r="BZ11" s="10">
        <v>24755.611313999998</v>
      </c>
      <c r="CA11" s="10">
        <v>24521.851291999999</v>
      </c>
      <c r="CB11" s="10">
        <v>26412.351391</v>
      </c>
      <c r="CC11" s="10">
        <v>29943.939258000002</v>
      </c>
      <c r="CD11" s="10">
        <v>27026.134085000005</v>
      </c>
      <c r="CE11" s="10">
        <v>29913.569958999997</v>
      </c>
      <c r="CF11" s="10">
        <v>28170.327699000001</v>
      </c>
      <c r="CG11" s="11">
        <v>29767.190986999998</v>
      </c>
      <c r="CH11" s="10">
        <v>32644.880638000002</v>
      </c>
      <c r="CI11" s="10">
        <v>32655.193092000001</v>
      </c>
      <c r="CJ11" s="10">
        <v>34438.587745999997</v>
      </c>
      <c r="CK11" s="10">
        <v>34964.220044000002</v>
      </c>
      <c r="CL11" s="10">
        <v>33839.980248</v>
      </c>
      <c r="CM11" s="10">
        <v>34647.515665999999</v>
      </c>
      <c r="CN11" s="10">
        <v>37388.889918000001</v>
      </c>
      <c r="CO11" s="10">
        <v>38939.414225</v>
      </c>
    </row>
    <row r="12" spans="1:93" s="12" customFormat="1" x14ac:dyDescent="0.2">
      <c r="A12" s="9" t="s">
        <v>58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1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  <c r="X12" s="10" t="s">
        <v>24</v>
      </c>
      <c r="Y12" s="11" t="s">
        <v>24</v>
      </c>
      <c r="Z12" s="10" t="s">
        <v>24</v>
      </c>
      <c r="AA12" s="10" t="s">
        <v>24</v>
      </c>
      <c r="AB12" s="10" t="s">
        <v>24</v>
      </c>
      <c r="AC12" s="10" t="s">
        <v>24</v>
      </c>
      <c r="AD12" s="10" t="s">
        <v>24</v>
      </c>
      <c r="AE12" s="10" t="s">
        <v>24</v>
      </c>
      <c r="AF12" s="10" t="s">
        <v>24</v>
      </c>
      <c r="AG12" s="10" t="s">
        <v>24</v>
      </c>
      <c r="AH12" s="10" t="s">
        <v>24</v>
      </c>
      <c r="AI12" s="10" t="s">
        <v>24</v>
      </c>
      <c r="AJ12" s="10" t="s">
        <v>24</v>
      </c>
      <c r="AK12" s="11" t="s">
        <v>24</v>
      </c>
      <c r="AL12" s="10" t="s">
        <v>24</v>
      </c>
      <c r="AM12" s="10" t="s">
        <v>24</v>
      </c>
      <c r="AN12" s="10" t="s">
        <v>24</v>
      </c>
      <c r="AO12" s="10" t="s">
        <v>24</v>
      </c>
      <c r="AP12" s="10" t="s">
        <v>24</v>
      </c>
      <c r="AQ12" s="10" t="s">
        <v>24</v>
      </c>
      <c r="AR12" s="10" t="s">
        <v>24</v>
      </c>
      <c r="AS12" s="10" t="s">
        <v>24</v>
      </c>
      <c r="AT12" s="10" t="s">
        <v>24</v>
      </c>
      <c r="AU12" s="10" t="s">
        <v>24</v>
      </c>
      <c r="AV12" s="10" t="s">
        <v>24</v>
      </c>
      <c r="AW12" s="11" t="s">
        <v>24</v>
      </c>
      <c r="AX12" s="10" t="s">
        <v>24</v>
      </c>
      <c r="AY12" s="10" t="s">
        <v>24</v>
      </c>
      <c r="AZ12" s="10" t="s">
        <v>24</v>
      </c>
      <c r="BA12" s="10" t="s">
        <v>24</v>
      </c>
      <c r="BB12" s="10" t="s">
        <v>24</v>
      </c>
      <c r="BC12" s="10" t="s">
        <v>24</v>
      </c>
      <c r="BD12" s="10" t="s">
        <v>24</v>
      </c>
      <c r="BE12" s="10" t="s">
        <v>24</v>
      </c>
      <c r="BF12" s="10" t="s">
        <v>24</v>
      </c>
      <c r="BG12" s="10" t="s">
        <v>24</v>
      </c>
      <c r="BH12" s="10" t="s">
        <v>24</v>
      </c>
      <c r="BI12" s="11" t="s">
        <v>24</v>
      </c>
      <c r="BJ12" s="10">
        <v>17276.51429662</v>
      </c>
      <c r="BK12" s="10">
        <v>18036.228578169997</v>
      </c>
      <c r="BL12" s="10">
        <v>17227.129010589997</v>
      </c>
      <c r="BM12" s="10">
        <v>21474.240610079996</v>
      </c>
      <c r="BN12" s="10">
        <v>20830.442120470001</v>
      </c>
      <c r="BO12" s="10">
        <v>22999.327278509998</v>
      </c>
      <c r="BP12" s="10">
        <v>25596.087753010001</v>
      </c>
      <c r="BQ12" s="10">
        <v>26079.002712780002</v>
      </c>
      <c r="BR12" s="10">
        <v>26582.9276273</v>
      </c>
      <c r="BS12" s="10">
        <v>27342.312328260003</v>
      </c>
      <c r="BT12" s="10">
        <v>27041.646541720002</v>
      </c>
      <c r="BU12" s="11">
        <v>36962.116817420007</v>
      </c>
      <c r="BV12" s="10">
        <v>30619.836027220001</v>
      </c>
      <c r="BW12" s="10">
        <v>29182.769710589997</v>
      </c>
      <c r="BX12" s="10">
        <v>26938.103661409994</v>
      </c>
      <c r="BY12" s="10">
        <v>33237.303704899998</v>
      </c>
      <c r="BZ12" s="10">
        <v>32327.647826889999</v>
      </c>
      <c r="CA12" s="10">
        <v>37856.425337369998</v>
      </c>
      <c r="CB12" s="10">
        <v>37527.36809589</v>
      </c>
      <c r="CC12" s="10">
        <v>40021.02525875</v>
      </c>
      <c r="CD12" s="10">
        <v>41342.062671260006</v>
      </c>
      <c r="CE12" s="10">
        <v>40010.08297173</v>
      </c>
      <c r="CF12" s="10">
        <v>35329.226010819999</v>
      </c>
      <c r="CG12" s="11">
        <v>46704.5308343</v>
      </c>
      <c r="CH12" s="10">
        <v>42621.859568949993</v>
      </c>
      <c r="CI12" s="10">
        <v>31483.762653259997</v>
      </c>
      <c r="CJ12" s="10">
        <v>43979.38298717</v>
      </c>
      <c r="CK12" s="10">
        <v>45879.784551179997</v>
      </c>
      <c r="CL12" s="10">
        <v>43696.355383309994</v>
      </c>
      <c r="CM12" s="10">
        <v>54782.981553760001</v>
      </c>
      <c r="CN12" s="10">
        <v>51983.235081799998</v>
      </c>
      <c r="CO12" s="10"/>
    </row>
    <row r="13" spans="1:93" s="12" customFormat="1" x14ac:dyDescent="0.2">
      <c r="A13" s="9" t="s">
        <v>10</v>
      </c>
      <c r="B13" s="10">
        <v>220.49853751999999</v>
      </c>
      <c r="C13" s="10">
        <v>202.48970323999998</v>
      </c>
      <c r="D13" s="10">
        <v>254.44622299999997</v>
      </c>
      <c r="E13" s="10">
        <v>234.53109723</v>
      </c>
      <c r="F13" s="10">
        <v>212.33259532000002</v>
      </c>
      <c r="G13" s="10">
        <v>218.98994522999999</v>
      </c>
      <c r="H13" s="10">
        <v>230.45787829</v>
      </c>
      <c r="I13" s="10">
        <v>270.04676223999996</v>
      </c>
      <c r="J13" s="10">
        <v>295.33082628</v>
      </c>
      <c r="K13" s="10">
        <v>258.45884568999998</v>
      </c>
      <c r="L13" s="10">
        <v>285.02929460999997</v>
      </c>
      <c r="M13" s="11">
        <v>274.54019260999951</v>
      </c>
      <c r="N13" s="10">
        <v>303.97124613</v>
      </c>
      <c r="O13" s="10">
        <v>268.85110152000004</v>
      </c>
      <c r="P13" s="10">
        <v>301.29658518999997</v>
      </c>
      <c r="Q13" s="10">
        <v>228.64098415000001</v>
      </c>
      <c r="R13" s="10">
        <v>251.05570067000002</v>
      </c>
      <c r="S13" s="10">
        <v>259.95328966</v>
      </c>
      <c r="T13" s="10">
        <v>293.88727755999997</v>
      </c>
      <c r="U13" s="10">
        <v>287.85866752999999</v>
      </c>
      <c r="V13" s="10">
        <v>293.21860208999999</v>
      </c>
      <c r="W13" s="10">
        <v>334.53231464999999</v>
      </c>
      <c r="X13" s="10">
        <v>364.55917955000007</v>
      </c>
      <c r="Y13" s="11">
        <v>390.61596655</v>
      </c>
      <c r="Z13" s="10">
        <v>497.21247036</v>
      </c>
      <c r="AA13" s="10">
        <v>491.9755078</v>
      </c>
      <c r="AB13" s="10">
        <v>620.74091255000008</v>
      </c>
      <c r="AC13" s="10">
        <v>625.09</v>
      </c>
      <c r="AD13" s="10">
        <v>520.07514662999995</v>
      </c>
      <c r="AE13" s="10">
        <v>574.51547579999999</v>
      </c>
      <c r="AF13" s="10">
        <v>588.83318271000007</v>
      </c>
      <c r="AG13" s="10">
        <v>623.51574949999997</v>
      </c>
      <c r="AH13" s="10">
        <v>665.55702488999998</v>
      </c>
      <c r="AI13" s="10">
        <v>676.92736811999998</v>
      </c>
      <c r="AJ13" s="10">
        <v>729.8719723800001</v>
      </c>
      <c r="AK13" s="11">
        <v>826.46441117000006</v>
      </c>
      <c r="AL13" s="10">
        <v>850.13046795000002</v>
      </c>
      <c r="AM13" s="10">
        <v>735.81119099999989</v>
      </c>
      <c r="AN13" s="10">
        <v>1026.71695606</v>
      </c>
      <c r="AO13" s="10">
        <v>937.41675079999993</v>
      </c>
      <c r="AP13" s="10">
        <v>956.37364567000009</v>
      </c>
      <c r="AQ13" s="10">
        <v>1041.7753216200001</v>
      </c>
      <c r="AR13" s="10">
        <v>1144.2198225</v>
      </c>
      <c r="AS13" s="10">
        <v>1248.0487338299999</v>
      </c>
      <c r="AT13" s="10">
        <v>1353.0870105699998</v>
      </c>
      <c r="AU13" s="10">
        <v>1402.34595345</v>
      </c>
      <c r="AV13" s="10">
        <v>1555.3685920500002</v>
      </c>
      <c r="AW13" s="11">
        <v>1710.8127341100003</v>
      </c>
      <c r="AX13" s="10">
        <v>1596.0890126099998</v>
      </c>
      <c r="AY13" s="10">
        <v>1454.7066555499998</v>
      </c>
      <c r="AZ13" s="10">
        <v>2122.6988610900003</v>
      </c>
      <c r="BA13" s="10">
        <v>2068.3747374199997</v>
      </c>
      <c r="BB13" s="10">
        <v>2217.3539688199999</v>
      </c>
      <c r="BC13" s="10">
        <v>2335.4179828299998</v>
      </c>
      <c r="BD13" s="10">
        <v>2631.7946033971002</v>
      </c>
      <c r="BE13" s="10">
        <v>2887.6074149299998</v>
      </c>
      <c r="BF13" s="10">
        <v>3138.7155188499996</v>
      </c>
      <c r="BG13" s="10">
        <v>3301.0210275300001</v>
      </c>
      <c r="BH13" s="10">
        <v>3672.5319529600001</v>
      </c>
      <c r="BI13" s="11">
        <v>4090.8856425199997</v>
      </c>
      <c r="BJ13" s="10">
        <v>4903.48432684</v>
      </c>
      <c r="BK13" s="10">
        <v>5498.7073366200002</v>
      </c>
      <c r="BL13" s="10">
        <v>5739.30647185</v>
      </c>
      <c r="BM13" s="10">
        <v>7403.6914671300001</v>
      </c>
      <c r="BN13" s="10">
        <v>7045.9435401699993</v>
      </c>
      <c r="BO13" s="10">
        <v>7530.1238053800007</v>
      </c>
      <c r="BP13" s="10">
        <v>9093.5650446299987</v>
      </c>
      <c r="BQ13" s="10">
        <v>9792.32473484</v>
      </c>
      <c r="BR13" s="10">
        <v>9682.7451823200008</v>
      </c>
      <c r="BS13" s="10">
        <v>11158.490978649999</v>
      </c>
      <c r="BT13" s="10">
        <v>12451.67757206</v>
      </c>
      <c r="BU13" s="11">
        <v>11104.73128616</v>
      </c>
      <c r="BV13" s="10">
        <v>13522.49602898</v>
      </c>
      <c r="BW13" s="10">
        <v>10991.777343530001</v>
      </c>
      <c r="BX13" s="10">
        <v>12293.221340640001</v>
      </c>
      <c r="BY13" s="10">
        <v>13050.151336529998</v>
      </c>
      <c r="BZ13" s="10">
        <v>12269.839735240001</v>
      </c>
      <c r="CA13" s="10">
        <v>12730.909562329998</v>
      </c>
      <c r="CB13" s="10">
        <v>13484.954846050001</v>
      </c>
      <c r="CC13" s="10">
        <v>14285.07398117</v>
      </c>
      <c r="CD13" s="10">
        <v>14454.318300959998</v>
      </c>
      <c r="CE13" s="10">
        <v>13519.559088920001</v>
      </c>
      <c r="CF13" s="10">
        <v>13221.418846979999</v>
      </c>
      <c r="CG13" s="11">
        <v>13152.4549425</v>
      </c>
      <c r="CH13" s="10">
        <v>14321.042804209999</v>
      </c>
      <c r="CI13" s="10">
        <v>13051.323071520004</v>
      </c>
      <c r="CJ13" s="10">
        <v>13989.347481479999</v>
      </c>
      <c r="CK13" s="10">
        <v>16147.244206380001</v>
      </c>
      <c r="CL13" s="10">
        <v>14921.639788260001</v>
      </c>
      <c r="CM13" s="10">
        <v>15666.10433371</v>
      </c>
      <c r="CN13" s="10">
        <v>15715.307255630001</v>
      </c>
      <c r="CO13" s="10">
        <v>14775.599053589996</v>
      </c>
    </row>
    <row r="14" spans="1:93" s="12" customFormat="1" x14ac:dyDescent="0.2">
      <c r="A14" s="9" t="s">
        <v>11</v>
      </c>
      <c r="B14" s="10">
        <v>2654.6071270000002</v>
      </c>
      <c r="C14" s="10">
        <v>3322.7704309999999</v>
      </c>
      <c r="D14" s="10">
        <v>3379.522109</v>
      </c>
      <c r="E14" s="10">
        <v>3022.049215</v>
      </c>
      <c r="F14" s="10">
        <v>3191.0417819999998</v>
      </c>
      <c r="G14" s="10">
        <v>3125.7416680000001</v>
      </c>
      <c r="H14" s="10">
        <v>3148.6821810000001</v>
      </c>
      <c r="I14" s="10">
        <v>3615.5065839999997</v>
      </c>
      <c r="J14" s="10">
        <v>3658.5220689999996</v>
      </c>
      <c r="K14" s="10">
        <v>3480.1548539999999</v>
      </c>
      <c r="L14" s="10">
        <v>3662.2590579999996</v>
      </c>
      <c r="M14" s="11">
        <v>3593.6652509999994</v>
      </c>
      <c r="N14" s="10">
        <v>3701.5020979999999</v>
      </c>
      <c r="O14" s="10">
        <v>5089.14653</v>
      </c>
      <c r="P14" s="10">
        <v>4064.9990000000003</v>
      </c>
      <c r="Q14" s="10">
        <v>3445.0552560000006</v>
      </c>
      <c r="R14" s="10">
        <v>3273.5088059999998</v>
      </c>
      <c r="S14" s="10">
        <v>3605.0188010000002</v>
      </c>
      <c r="T14" s="10">
        <v>3709.079029</v>
      </c>
      <c r="U14" s="10">
        <v>4420.6863790000007</v>
      </c>
      <c r="V14" s="10">
        <v>4004.3499300000003</v>
      </c>
      <c r="W14" s="10">
        <v>4080.6742840000002</v>
      </c>
      <c r="X14" s="10">
        <v>4550.3858170000003</v>
      </c>
      <c r="Y14" s="11">
        <v>4707.8058589999991</v>
      </c>
      <c r="Z14" s="10">
        <v>5153.2848549999999</v>
      </c>
      <c r="AA14" s="10">
        <v>6384.4011180000016</v>
      </c>
      <c r="AB14" s="10">
        <v>6281.7492420000008</v>
      </c>
      <c r="AC14" s="10">
        <v>6010.95</v>
      </c>
      <c r="AD14" s="10">
        <v>5585.4488270000011</v>
      </c>
      <c r="AE14" s="10">
        <v>6017.1139470000007</v>
      </c>
      <c r="AF14" s="10">
        <v>6265.1643640000002</v>
      </c>
      <c r="AG14" s="10">
        <v>6622.0224019999996</v>
      </c>
      <c r="AH14" s="10">
        <v>6897.8878759999998</v>
      </c>
      <c r="AI14" s="10">
        <v>6678.0753109999996</v>
      </c>
      <c r="AJ14" s="10">
        <v>7418.4775340000006</v>
      </c>
      <c r="AK14" s="11">
        <v>8481.6237539999984</v>
      </c>
      <c r="AL14" s="10">
        <v>8315.8928759999999</v>
      </c>
      <c r="AM14" s="10">
        <v>10093.343044000001</v>
      </c>
      <c r="AN14" s="10">
        <v>9715.2489979999991</v>
      </c>
      <c r="AO14" s="10">
        <v>10209.086812789999</v>
      </c>
      <c r="AP14" s="10">
        <v>10769.665279999999</v>
      </c>
      <c r="AQ14" s="10">
        <v>10775.754873</v>
      </c>
      <c r="AR14" s="10">
        <v>12089.385848999997</v>
      </c>
      <c r="AS14" s="10">
        <v>13337.814709</v>
      </c>
      <c r="AT14" s="10">
        <v>13523.055374</v>
      </c>
      <c r="AU14" s="10">
        <v>13594.321787999999</v>
      </c>
      <c r="AV14" s="10">
        <v>14914.457869</v>
      </c>
      <c r="AW14" s="11">
        <v>15838.626037000002</v>
      </c>
      <c r="AX14" s="10">
        <v>17219.975621999998</v>
      </c>
      <c r="AY14" s="10">
        <v>20566.551402000001</v>
      </c>
      <c r="AZ14" s="10">
        <v>21463.657383000002</v>
      </c>
      <c r="BA14" s="10">
        <v>21220.149304000002</v>
      </c>
      <c r="BB14" s="10">
        <v>23380.121634000003</v>
      </c>
      <c r="BC14" s="10">
        <v>24235.459432000003</v>
      </c>
      <c r="BD14" s="10">
        <v>27218.894522000002</v>
      </c>
      <c r="BE14" s="10">
        <v>29857.767064</v>
      </c>
      <c r="BF14" s="10">
        <v>33308.181810000002</v>
      </c>
      <c r="BG14" s="10">
        <v>38692.510555000001</v>
      </c>
      <c r="BH14" s="10">
        <v>41831.860532999999</v>
      </c>
      <c r="BI14" s="11">
        <v>44472.628526</v>
      </c>
      <c r="BJ14" s="10">
        <v>54795.947619999999</v>
      </c>
      <c r="BK14" s="10">
        <v>67755.375329000002</v>
      </c>
      <c r="BL14" s="10">
        <v>75632.750478999995</v>
      </c>
      <c r="BM14" s="10">
        <v>71490.940180000005</v>
      </c>
      <c r="BN14" s="10">
        <v>80071.236487999995</v>
      </c>
      <c r="BO14" s="10">
        <v>80663.272420000008</v>
      </c>
      <c r="BP14" s="10">
        <v>83780.007809999996</v>
      </c>
      <c r="BQ14" s="10">
        <v>89205.701669999995</v>
      </c>
      <c r="BR14" s="10">
        <v>92967.373512000006</v>
      </c>
      <c r="BS14" s="10">
        <v>96482.881346000009</v>
      </c>
      <c r="BT14" s="10">
        <v>100939.292143</v>
      </c>
      <c r="BU14" s="11">
        <v>101478.44653799999</v>
      </c>
      <c r="BV14" s="10">
        <v>99612.369801000008</v>
      </c>
      <c r="BW14" s="10">
        <v>117091.60411299999</v>
      </c>
      <c r="BX14" s="10">
        <v>113045.831536</v>
      </c>
      <c r="BY14" s="10">
        <v>102462.79184000001</v>
      </c>
      <c r="BZ14" s="10">
        <v>113545.11151899998</v>
      </c>
      <c r="CA14" s="10">
        <v>110298.34089200001</v>
      </c>
      <c r="CB14" s="10">
        <v>116828.980306</v>
      </c>
      <c r="CC14" s="10">
        <v>122983.90895499999</v>
      </c>
      <c r="CD14" s="10">
        <v>125257.87222309998</v>
      </c>
      <c r="CE14" s="10">
        <v>127969.2646622</v>
      </c>
      <c r="CF14" s="10">
        <v>130521.32905829999</v>
      </c>
      <c r="CG14" s="11">
        <v>130858.367273</v>
      </c>
      <c r="CH14" s="10">
        <v>137448.56969829998</v>
      </c>
      <c r="CI14" s="10">
        <v>153257.68047020002</v>
      </c>
      <c r="CJ14" s="10">
        <v>149737.47233589998</v>
      </c>
      <c r="CK14" s="10">
        <v>138062.4729663</v>
      </c>
      <c r="CL14" s="10">
        <v>145745.15967059997</v>
      </c>
      <c r="CM14" s="10">
        <v>143398.86805730002</v>
      </c>
      <c r="CN14" s="10">
        <v>147533.95006210002</v>
      </c>
      <c r="CO14" s="10">
        <v>149688.88961669998</v>
      </c>
    </row>
    <row r="15" spans="1:93" s="12" customFormat="1" x14ac:dyDescent="0.2">
      <c r="A15" s="9" t="s">
        <v>12</v>
      </c>
      <c r="B15" s="10">
        <v>1480.2682709999999</v>
      </c>
      <c r="C15" s="10">
        <v>1513.477967</v>
      </c>
      <c r="D15" s="10">
        <v>1392.8079129999999</v>
      </c>
      <c r="E15" s="10">
        <v>1402.2776559999998</v>
      </c>
      <c r="F15" s="10">
        <v>1520.2131460000001</v>
      </c>
      <c r="G15" s="10">
        <v>1549.1987779999999</v>
      </c>
      <c r="H15" s="10">
        <v>1478.647273</v>
      </c>
      <c r="I15" s="10">
        <v>1620.6924699999997</v>
      </c>
      <c r="J15" s="10">
        <v>1626.4597919999997</v>
      </c>
      <c r="K15" s="10">
        <v>1721.9428849999999</v>
      </c>
      <c r="L15" s="10">
        <v>1841.3363430000002</v>
      </c>
      <c r="M15" s="11">
        <v>1766.483062</v>
      </c>
      <c r="N15" s="10">
        <v>1962.4180324199997</v>
      </c>
      <c r="O15" s="10">
        <v>2266.4885618399999</v>
      </c>
      <c r="P15" s="10">
        <v>1993.6012987099998</v>
      </c>
      <c r="Q15" s="10">
        <v>1905.6274326099999</v>
      </c>
      <c r="R15" s="10">
        <v>2406.46035493</v>
      </c>
      <c r="S15" s="10">
        <v>2702.7676406399996</v>
      </c>
      <c r="T15" s="10">
        <v>3113.6006674400001</v>
      </c>
      <c r="U15" s="10">
        <v>3446.1131950499998</v>
      </c>
      <c r="V15" s="10">
        <v>3268.8011623399998</v>
      </c>
      <c r="W15" s="10">
        <v>3597.3952413600005</v>
      </c>
      <c r="X15" s="10">
        <v>3669.3058958699999</v>
      </c>
      <c r="Y15" s="11">
        <v>3793.1739480999995</v>
      </c>
      <c r="Z15" s="10">
        <v>4137.5954717899995</v>
      </c>
      <c r="AA15" s="10">
        <v>4293.6009671700003</v>
      </c>
      <c r="AB15" s="10">
        <v>4394.5661723099993</v>
      </c>
      <c r="AC15" s="10">
        <v>4967.25</v>
      </c>
      <c r="AD15" s="10">
        <v>5094.1182910299995</v>
      </c>
      <c r="AE15" s="10">
        <v>5110.3160228900006</v>
      </c>
      <c r="AF15" s="10">
        <v>5193.5204144799991</v>
      </c>
      <c r="AG15" s="10">
        <v>5631.2112935200003</v>
      </c>
      <c r="AH15" s="10">
        <v>6176.4508297900002</v>
      </c>
      <c r="AI15" s="10">
        <v>6254.6697479800014</v>
      </c>
      <c r="AJ15" s="10">
        <v>6428.9126990900004</v>
      </c>
      <c r="AK15" s="11">
        <v>6915.4540690499998</v>
      </c>
      <c r="AL15" s="10">
        <v>7241.4571791199996</v>
      </c>
      <c r="AM15" s="10">
        <v>7049.0315771599999</v>
      </c>
      <c r="AN15" s="10">
        <v>7508.7816844400004</v>
      </c>
      <c r="AO15" s="10">
        <v>7936.4075956499992</v>
      </c>
      <c r="AP15" s="10">
        <v>8887.8760684000008</v>
      </c>
      <c r="AQ15" s="10">
        <v>9617.4843232000003</v>
      </c>
      <c r="AR15" s="10">
        <v>10219.60268966</v>
      </c>
      <c r="AS15" s="10">
        <v>11878.067679469998</v>
      </c>
      <c r="AT15" s="10">
        <v>12088.429423240001</v>
      </c>
      <c r="AU15" s="10">
        <v>12131.393456070002</v>
      </c>
      <c r="AV15" s="10">
        <v>12777.584107819999</v>
      </c>
      <c r="AW15" s="11">
        <v>13284.125639999998</v>
      </c>
      <c r="AX15" s="10">
        <v>14172.4</v>
      </c>
      <c r="AY15" s="10">
        <v>15869.1</v>
      </c>
      <c r="AZ15" s="10">
        <v>16362.9</v>
      </c>
      <c r="BA15" s="10">
        <v>16035.1</v>
      </c>
      <c r="BB15" s="10">
        <v>16961</v>
      </c>
      <c r="BC15" s="10">
        <v>18533.3</v>
      </c>
      <c r="BD15" s="10">
        <v>20564.7</v>
      </c>
      <c r="BE15" s="10">
        <v>24140.799999999999</v>
      </c>
      <c r="BF15" s="10">
        <v>26029</v>
      </c>
      <c r="BG15" s="10">
        <v>26223.8</v>
      </c>
      <c r="BH15" s="10">
        <v>33003.199999999997</v>
      </c>
      <c r="BI15" s="11">
        <v>38596.5</v>
      </c>
      <c r="BJ15" s="10">
        <v>45758.197240879999</v>
      </c>
      <c r="BK15" s="10">
        <v>48111.828380339997</v>
      </c>
      <c r="BL15" s="10">
        <v>53805.048093010002</v>
      </c>
      <c r="BM15" s="10">
        <v>57990.190544660007</v>
      </c>
      <c r="BN15" s="10">
        <v>62161.007271339993</v>
      </c>
      <c r="BO15" s="10">
        <v>62669.792411360002</v>
      </c>
      <c r="BP15" s="10">
        <v>65271.245837540002</v>
      </c>
      <c r="BQ15" s="10">
        <v>74516.345976779994</v>
      </c>
      <c r="BR15" s="10">
        <v>75467.736527389992</v>
      </c>
      <c r="BS15" s="10">
        <v>75452.25928191001</v>
      </c>
      <c r="BT15" s="10">
        <v>77168.519737740004</v>
      </c>
      <c r="BU15" s="11">
        <v>79512.993744919993</v>
      </c>
      <c r="BV15" s="10">
        <v>91833.113760139997</v>
      </c>
      <c r="BW15" s="10">
        <v>84330.219889949993</v>
      </c>
      <c r="BX15" s="10">
        <v>76553.607283789999</v>
      </c>
      <c r="BY15" s="10">
        <v>80157.21144436</v>
      </c>
      <c r="BZ15" s="10">
        <v>88113.925568710009</v>
      </c>
      <c r="CA15" s="10">
        <v>86813.424627020009</v>
      </c>
      <c r="CB15" s="10">
        <v>84082.122451670002</v>
      </c>
      <c r="CC15" s="10">
        <v>86997.915444580009</v>
      </c>
      <c r="CD15" s="10">
        <v>81349.013064960003</v>
      </c>
      <c r="CE15" s="10">
        <v>87335.350247020004</v>
      </c>
      <c r="CF15" s="10">
        <v>87803.655224679998</v>
      </c>
      <c r="CG15" s="11">
        <v>86665.550586259997</v>
      </c>
      <c r="CH15" s="10">
        <v>93313.182747839994</v>
      </c>
      <c r="CI15" s="10">
        <v>85852.994749110003</v>
      </c>
      <c r="CJ15" s="10">
        <v>82709.365080740012</v>
      </c>
      <c r="CK15" s="10">
        <v>93488.755632500004</v>
      </c>
      <c r="CL15" s="10">
        <v>89293.354341419996</v>
      </c>
      <c r="CM15" s="10">
        <v>88136.544005830001</v>
      </c>
      <c r="CN15" s="10">
        <v>93773.817129850009</v>
      </c>
      <c r="CO15" s="10">
        <v>91239.595491429995</v>
      </c>
    </row>
    <row r="16" spans="1:93" s="12" customFormat="1" x14ac:dyDescent="0.2">
      <c r="A16" s="9" t="s">
        <v>13</v>
      </c>
      <c r="B16" s="10">
        <v>2847.4761794599995</v>
      </c>
      <c r="C16" s="10">
        <v>2198.25643954</v>
      </c>
      <c r="D16" s="10">
        <v>2389.1700199799998</v>
      </c>
      <c r="E16" s="10">
        <v>2501.5692645600002</v>
      </c>
      <c r="F16" s="10">
        <v>3397.3828890499994</v>
      </c>
      <c r="G16" s="10">
        <v>2806.6589542400002</v>
      </c>
      <c r="H16" s="10">
        <v>3277.3562381500001</v>
      </c>
      <c r="I16" s="10">
        <v>3533.0430628600002</v>
      </c>
      <c r="J16" s="10">
        <v>3232.33346364</v>
      </c>
      <c r="K16" s="10">
        <v>3582.9734577900003</v>
      </c>
      <c r="L16" s="10">
        <v>3765.3135670799998</v>
      </c>
      <c r="M16" s="11">
        <v>3632.8055756200001</v>
      </c>
      <c r="N16" s="10">
        <v>3652.7278361899998</v>
      </c>
      <c r="O16" s="10">
        <v>3789.6033923300001</v>
      </c>
      <c r="P16" s="10">
        <v>3197.7555342700002</v>
      </c>
      <c r="Q16" s="10">
        <v>2987.9174139399997</v>
      </c>
      <c r="R16" s="10">
        <v>2345.2242676299998</v>
      </c>
      <c r="S16" s="10">
        <v>2165.6041294800002</v>
      </c>
      <c r="T16" s="10">
        <v>3152.1708064999998</v>
      </c>
      <c r="U16" s="10">
        <v>3138.0957192199999</v>
      </c>
      <c r="V16" s="10">
        <v>3026.6374278000003</v>
      </c>
      <c r="W16" s="10">
        <v>3238.5783673600008</v>
      </c>
      <c r="X16" s="10">
        <v>3635.7762896200002</v>
      </c>
      <c r="Y16" s="11">
        <v>3717.54958012</v>
      </c>
      <c r="Z16" s="10">
        <v>4896.8662665100001</v>
      </c>
      <c r="AA16" s="10">
        <v>4505.6971105500006</v>
      </c>
      <c r="AB16" s="10">
        <v>4919.0550270999993</v>
      </c>
      <c r="AC16" s="10">
        <v>5155.3306641200006</v>
      </c>
      <c r="AD16" s="10">
        <v>4798.8317164499995</v>
      </c>
      <c r="AE16" s="10">
        <v>5290.8628235699998</v>
      </c>
      <c r="AF16" s="10">
        <v>6054.5973388299999</v>
      </c>
      <c r="AG16" s="10">
        <v>6318.0630937699998</v>
      </c>
      <c r="AH16" s="10">
        <v>6670.4581697100002</v>
      </c>
      <c r="AI16" s="10">
        <v>6229.6581411099996</v>
      </c>
      <c r="AJ16" s="10">
        <v>6420.1346765099997</v>
      </c>
      <c r="AK16" s="11">
        <v>7050.4320488100011</v>
      </c>
      <c r="AL16" s="10">
        <v>7596.4671900299991</v>
      </c>
      <c r="AM16" s="10">
        <v>6853.6994701300009</v>
      </c>
      <c r="AN16" s="10">
        <v>7141.2995692300001</v>
      </c>
      <c r="AO16" s="10">
        <v>8415.2639189399997</v>
      </c>
      <c r="AP16" s="10">
        <v>9190.6054489599992</v>
      </c>
      <c r="AQ16" s="10">
        <v>9241.1375707800016</v>
      </c>
      <c r="AR16" s="10">
        <v>11770.3302014</v>
      </c>
      <c r="AS16" s="10">
        <v>12079.551417319999</v>
      </c>
      <c r="AT16" s="10">
        <v>12490.248968600001</v>
      </c>
      <c r="AU16" s="10">
        <v>12909.35398928</v>
      </c>
      <c r="AV16" s="10">
        <v>13437.2397671</v>
      </c>
      <c r="AW16" s="11">
        <v>14485.159290559999</v>
      </c>
      <c r="AX16" s="10">
        <v>17989.94935323</v>
      </c>
      <c r="AY16" s="10">
        <v>16263.376512659999</v>
      </c>
      <c r="AZ16" s="10">
        <v>17372.569479640002</v>
      </c>
      <c r="BA16" s="10">
        <v>19718.766265219998</v>
      </c>
      <c r="BB16" s="10">
        <v>21772.378691559999</v>
      </c>
      <c r="BC16" s="10">
        <v>22384.366033720002</v>
      </c>
      <c r="BD16" s="10">
        <v>26519.09774415</v>
      </c>
      <c r="BE16" s="10">
        <v>30087.603469230002</v>
      </c>
      <c r="BF16" s="10">
        <v>32118.477616400003</v>
      </c>
      <c r="BG16" s="10">
        <v>38637.339633150004</v>
      </c>
      <c r="BH16" s="10">
        <v>36487.84513863</v>
      </c>
      <c r="BI16" s="11">
        <v>37463.526443570001</v>
      </c>
      <c r="BJ16" s="10">
        <v>68141.755428389995</v>
      </c>
      <c r="BK16" s="10">
        <v>72565.317237100011</v>
      </c>
      <c r="BL16" s="10">
        <v>76596.928605330002</v>
      </c>
      <c r="BM16" s="10">
        <v>80629.470560310001</v>
      </c>
      <c r="BN16" s="10">
        <v>90127.320596529986</v>
      </c>
      <c r="BO16" s="10">
        <v>94216.895678279994</v>
      </c>
      <c r="BP16" s="10">
        <v>104523.01519604999</v>
      </c>
      <c r="BQ16" s="10">
        <v>108190.67586233</v>
      </c>
      <c r="BR16" s="10">
        <v>125091.57521441</v>
      </c>
      <c r="BS16" s="10">
        <v>111713.50921779001</v>
      </c>
      <c r="BT16" s="10">
        <v>112021.56312542001</v>
      </c>
      <c r="BU16" s="11">
        <v>110011.12511590999</v>
      </c>
      <c r="BV16" s="10">
        <v>132242.29049119999</v>
      </c>
      <c r="BW16" s="10">
        <v>122427.87919657001</v>
      </c>
      <c r="BX16" s="10">
        <v>116394.98113891001</v>
      </c>
      <c r="BY16" s="10">
        <v>129950.94096682</v>
      </c>
      <c r="BZ16" s="10">
        <v>133207.99072930001</v>
      </c>
      <c r="CA16" s="10">
        <v>145088.72791019003</v>
      </c>
      <c r="CB16" s="10">
        <v>156773.08748771</v>
      </c>
      <c r="CC16" s="10">
        <v>160819.82682413</v>
      </c>
      <c r="CD16" s="10">
        <v>168670.01021413997</v>
      </c>
      <c r="CE16" s="10">
        <v>164219.26913673998</v>
      </c>
      <c r="CF16" s="10">
        <v>151340.88076247001</v>
      </c>
      <c r="CG16" s="11">
        <v>164624.00496357997</v>
      </c>
      <c r="CH16" s="10">
        <v>176997.60594504001</v>
      </c>
      <c r="CI16" s="10">
        <v>176514.96168635</v>
      </c>
      <c r="CJ16" s="10">
        <v>157384.81714159003</v>
      </c>
      <c r="CK16" s="10">
        <v>184224.44221170997</v>
      </c>
      <c r="CL16" s="10">
        <v>204479.09342415002</v>
      </c>
      <c r="CM16" s="10">
        <v>209871.27527415002</v>
      </c>
      <c r="CN16" s="10">
        <v>230324.96975697001</v>
      </c>
      <c r="CO16" s="10"/>
    </row>
    <row r="17" spans="1:93" s="12" customFormat="1" x14ac:dyDescent="0.2">
      <c r="A17" s="9" t="s">
        <v>14</v>
      </c>
      <c r="B17" s="10">
        <v>1324.6565746399999</v>
      </c>
      <c r="C17" s="10">
        <v>1630.9027866699998</v>
      </c>
      <c r="D17" s="10">
        <v>1147.25455891</v>
      </c>
      <c r="E17" s="10">
        <v>1184.4538377199999</v>
      </c>
      <c r="F17" s="10">
        <v>1232.1657250799999</v>
      </c>
      <c r="G17" s="10">
        <v>1178.33706828</v>
      </c>
      <c r="H17" s="10">
        <v>1207.8689246200001</v>
      </c>
      <c r="I17" s="10">
        <v>1343.7964672099999</v>
      </c>
      <c r="J17" s="10">
        <v>1375.51976947</v>
      </c>
      <c r="K17" s="10">
        <v>1442.3703060199998</v>
      </c>
      <c r="L17" s="10">
        <v>1411.09656709</v>
      </c>
      <c r="M17" s="11">
        <v>1523.2277851299998</v>
      </c>
      <c r="N17" s="10">
        <v>1967.1774433099997</v>
      </c>
      <c r="O17" s="10">
        <v>2124.7909617100004</v>
      </c>
      <c r="P17" s="10">
        <v>1555.6569495000001</v>
      </c>
      <c r="Q17" s="10">
        <v>1121.9924232199999</v>
      </c>
      <c r="R17" s="10">
        <v>1102.44357008</v>
      </c>
      <c r="S17" s="10">
        <v>1203.62534547</v>
      </c>
      <c r="T17" s="10">
        <v>1383.9471254500002</v>
      </c>
      <c r="U17" s="10">
        <v>1505.5717356300001</v>
      </c>
      <c r="V17" s="10">
        <v>1512.4648699500001</v>
      </c>
      <c r="W17" s="10">
        <v>1642.33426549</v>
      </c>
      <c r="X17" s="10">
        <v>1756.3907588999998</v>
      </c>
      <c r="Y17" s="11">
        <v>1799.8759616900004</v>
      </c>
      <c r="Z17" s="10">
        <v>2303.9670847700004</v>
      </c>
      <c r="AA17" s="10">
        <v>2861.5173455499998</v>
      </c>
      <c r="AB17" s="10">
        <v>2442.8339849499998</v>
      </c>
      <c r="AC17" s="10">
        <v>2455.16</v>
      </c>
      <c r="AD17" s="10">
        <v>2176.7805838200002</v>
      </c>
      <c r="AE17" s="10">
        <v>2125.38125631</v>
      </c>
      <c r="AF17" s="10">
        <v>2452.8934374099999</v>
      </c>
      <c r="AG17" s="10">
        <v>2565.2607109599994</v>
      </c>
      <c r="AH17" s="10">
        <v>2524.13433519</v>
      </c>
      <c r="AI17" s="10">
        <v>2660.6238465900001</v>
      </c>
      <c r="AJ17" s="10">
        <v>2984.3764148400001</v>
      </c>
      <c r="AK17" s="11">
        <v>3098.2915925799998</v>
      </c>
      <c r="AL17" s="10">
        <v>3829.2879560500005</v>
      </c>
      <c r="AM17" s="10">
        <v>3949.2044692800005</v>
      </c>
      <c r="AN17" s="10">
        <v>4286.2148772999999</v>
      </c>
      <c r="AO17" s="10">
        <v>4039.2685256299997</v>
      </c>
      <c r="AP17" s="10">
        <v>3849.4798971699993</v>
      </c>
      <c r="AQ17" s="10">
        <v>3700.9794061300004</v>
      </c>
      <c r="AR17" s="10">
        <v>4262.6681207000001</v>
      </c>
      <c r="AS17" s="10">
        <v>4639.4309258699996</v>
      </c>
      <c r="AT17" s="10">
        <v>5160.9727083700009</v>
      </c>
      <c r="AU17" s="10">
        <v>5037.6941530399999</v>
      </c>
      <c r="AV17" s="10">
        <v>5366.5946954700003</v>
      </c>
      <c r="AW17" s="11">
        <v>5901.9456934700002</v>
      </c>
      <c r="AX17" s="10">
        <v>7422.8277406100005</v>
      </c>
      <c r="AY17" s="10">
        <v>8379.2370045299995</v>
      </c>
      <c r="AZ17" s="10">
        <v>9093.9017123599988</v>
      </c>
      <c r="BA17" s="10">
        <v>8293.4907093500005</v>
      </c>
      <c r="BB17" s="10">
        <v>8567.7953193499998</v>
      </c>
      <c r="BC17" s="10">
        <v>8269.2980985899994</v>
      </c>
      <c r="BD17" s="10">
        <v>9659.4549817400002</v>
      </c>
      <c r="BE17" s="10">
        <v>10700.4790464</v>
      </c>
      <c r="BF17" s="10">
        <v>11783.72324429</v>
      </c>
      <c r="BG17" s="10">
        <v>12694.525635159998</v>
      </c>
      <c r="BH17" s="10">
        <v>13606.075678089999</v>
      </c>
      <c r="BI17" s="11">
        <v>15763.067476380002</v>
      </c>
      <c r="BJ17" s="10">
        <v>25163.54985879</v>
      </c>
      <c r="BK17" s="10">
        <v>31350.64644312</v>
      </c>
      <c r="BL17" s="10">
        <v>25534.959265040001</v>
      </c>
      <c r="BM17" s="10">
        <v>27150.844533840002</v>
      </c>
      <c r="BN17" s="10">
        <v>29778.76415495</v>
      </c>
      <c r="BO17" s="10">
        <v>32854.673403890003</v>
      </c>
      <c r="BP17" s="10">
        <v>36882.721770850003</v>
      </c>
      <c r="BQ17" s="10">
        <v>38731.260916799998</v>
      </c>
      <c r="BR17" s="10">
        <v>40089.187154190004</v>
      </c>
      <c r="BS17" s="10">
        <v>37685.792421949998</v>
      </c>
      <c r="BT17" s="10">
        <v>40433.110428660002</v>
      </c>
      <c r="BU17" s="11">
        <v>44826.245083889997</v>
      </c>
      <c r="BV17" s="10">
        <v>56473.510267490004</v>
      </c>
      <c r="BW17" s="10">
        <v>67540.939684990008</v>
      </c>
      <c r="BX17" s="10">
        <v>51236.451045949994</v>
      </c>
      <c r="BY17" s="10">
        <v>48664.984956330009</v>
      </c>
      <c r="BZ17" s="10">
        <v>57412.027276710003</v>
      </c>
      <c r="CA17" s="10">
        <v>55193.543196410006</v>
      </c>
      <c r="CB17" s="10">
        <v>57388.885245990001</v>
      </c>
      <c r="CC17" s="10">
        <v>62748.163361729996</v>
      </c>
      <c r="CD17" s="10">
        <v>62074.632438250002</v>
      </c>
      <c r="CE17" s="10">
        <v>61885.414153659993</v>
      </c>
      <c r="CF17" s="10">
        <v>59364.52104865</v>
      </c>
      <c r="CG17" s="11">
        <v>66532.219119560206</v>
      </c>
      <c r="CH17" s="10">
        <v>83827.530503829985</v>
      </c>
      <c r="CI17" s="10">
        <v>89190.591828770004</v>
      </c>
      <c r="CJ17" s="10">
        <v>76099.695974500006</v>
      </c>
      <c r="CK17" s="10">
        <v>71811.170428900004</v>
      </c>
      <c r="CL17" s="10">
        <v>71599.650241249998</v>
      </c>
      <c r="CM17" s="10">
        <v>75539.209773220005</v>
      </c>
      <c r="CN17" s="10">
        <v>82330.258229159997</v>
      </c>
      <c r="CO17" s="10">
        <v>82280.402237440008</v>
      </c>
    </row>
    <row r="18" spans="1:93" s="12" customFormat="1" x14ac:dyDescent="0.2">
      <c r="A18" s="9" t="s">
        <v>15</v>
      </c>
      <c r="B18" s="10">
        <v>1169.3478196000001</v>
      </c>
      <c r="C18" s="10">
        <v>1180.7292152800001</v>
      </c>
      <c r="D18" s="10">
        <v>1159.9321614399998</v>
      </c>
      <c r="E18" s="10">
        <v>1347.6970860000001</v>
      </c>
      <c r="F18" s="10">
        <v>1382.4958790000001</v>
      </c>
      <c r="G18" s="10">
        <v>1500.9623262800001</v>
      </c>
      <c r="H18" s="10">
        <v>1556.557294</v>
      </c>
      <c r="I18" s="10">
        <v>1714.0148170499999</v>
      </c>
      <c r="J18" s="10">
        <v>1825.2966560499999</v>
      </c>
      <c r="K18" s="10">
        <v>1715.7605870799998</v>
      </c>
      <c r="L18" s="10">
        <v>1880.8624866900002</v>
      </c>
      <c r="M18" s="11">
        <v>1774.0141351300001</v>
      </c>
      <c r="N18" s="10">
        <v>2014.8081084100002</v>
      </c>
      <c r="O18" s="10">
        <v>1839.4486619571001</v>
      </c>
      <c r="P18" s="10">
        <v>1826.4338706000001</v>
      </c>
      <c r="Q18" s="10">
        <v>1388.7376382500001</v>
      </c>
      <c r="R18" s="10">
        <v>1502.8298607899999</v>
      </c>
      <c r="S18" s="10">
        <v>1677.69690397</v>
      </c>
      <c r="T18" s="10">
        <v>1910.0836971200001</v>
      </c>
      <c r="U18" s="10">
        <v>2137.0215355</v>
      </c>
      <c r="V18" s="10">
        <v>2095.7212546299997</v>
      </c>
      <c r="W18" s="10">
        <v>2319.4423254499998</v>
      </c>
      <c r="X18" s="10">
        <v>2328.1058164900001</v>
      </c>
      <c r="Y18" s="11">
        <v>2296.1676436499997</v>
      </c>
      <c r="Z18" s="10">
        <v>2652.24773602</v>
      </c>
      <c r="AA18" s="10">
        <v>2518.1085240900002</v>
      </c>
      <c r="AB18" s="10">
        <v>2703.4355911299999</v>
      </c>
      <c r="AC18" s="10">
        <v>2859.9440829099999</v>
      </c>
      <c r="AD18" s="10">
        <v>2963.9704770399999</v>
      </c>
      <c r="AE18" s="10">
        <v>3306.7584952550001</v>
      </c>
      <c r="AF18" s="10">
        <v>3452.23508154</v>
      </c>
      <c r="AG18" s="10">
        <v>4089.3783280000002</v>
      </c>
      <c r="AH18" s="10">
        <v>4442.9781162700001</v>
      </c>
      <c r="AI18" s="10">
        <v>4259.0913662300009</v>
      </c>
      <c r="AJ18" s="10">
        <v>4231.4442621400003</v>
      </c>
      <c r="AK18" s="11">
        <v>4145.0579422699993</v>
      </c>
      <c r="AL18" s="10">
        <v>4270.9328152400003</v>
      </c>
      <c r="AM18" s="10">
        <v>4042.7791656099998</v>
      </c>
      <c r="AN18" s="10">
        <v>4407.6059724500001</v>
      </c>
      <c r="AO18" s="10">
        <v>5043.1776601199999</v>
      </c>
      <c r="AP18" s="10">
        <v>5449.45217899</v>
      </c>
      <c r="AQ18" s="10">
        <v>5947.5890602500003</v>
      </c>
      <c r="AR18" s="10">
        <v>6682.0586783600002</v>
      </c>
      <c r="AS18" s="10">
        <v>7953.627945520001</v>
      </c>
      <c r="AT18" s="10">
        <v>7774.6873421400005</v>
      </c>
      <c r="AU18" s="10">
        <v>7939.0714590599991</v>
      </c>
      <c r="AV18" s="10">
        <v>8316.0493876700002</v>
      </c>
      <c r="AW18" s="11">
        <v>8192.6315827399994</v>
      </c>
      <c r="AX18" s="10">
        <v>9600.8136753599993</v>
      </c>
      <c r="AY18" s="10">
        <v>8902.9495346200001</v>
      </c>
      <c r="AZ18" s="10">
        <v>10014.577866009999</v>
      </c>
      <c r="BA18" s="10">
        <v>11314.80307514</v>
      </c>
      <c r="BB18" s="10">
        <v>12098.69528294</v>
      </c>
      <c r="BC18" s="10">
        <v>13092.79103129</v>
      </c>
      <c r="BD18" s="10">
        <v>16046.504124219999</v>
      </c>
      <c r="BE18" s="10">
        <v>16992.155962510002</v>
      </c>
      <c r="BF18" s="10">
        <v>19306.970666730002</v>
      </c>
      <c r="BG18" s="10">
        <v>20990.408296780002</v>
      </c>
      <c r="BH18" s="10">
        <v>24611.025649020001</v>
      </c>
      <c r="BI18" s="11">
        <v>26229.640124290003</v>
      </c>
      <c r="BJ18" s="10">
        <v>33077.478598970003</v>
      </c>
      <c r="BK18" s="10">
        <v>35302.056304390004</v>
      </c>
      <c r="BL18" s="10">
        <v>39916.410145779999</v>
      </c>
      <c r="BM18" s="10">
        <v>45554.014908569996</v>
      </c>
      <c r="BN18" s="10">
        <v>46481.372040729999</v>
      </c>
      <c r="BO18" s="10">
        <v>44885.462483809992</v>
      </c>
      <c r="BP18" s="10">
        <v>49807.082458639998</v>
      </c>
      <c r="BQ18" s="10">
        <v>54930.063004290001</v>
      </c>
      <c r="BR18" s="10">
        <v>60139.647927810001</v>
      </c>
      <c r="BS18" s="10">
        <v>57731.780119190007</v>
      </c>
      <c r="BT18" s="10">
        <v>58592.866877740002</v>
      </c>
      <c r="BU18" s="11">
        <v>55505.783063790004</v>
      </c>
      <c r="BV18" s="10">
        <v>60153.133653549994</v>
      </c>
      <c r="BW18" s="10">
        <v>55472.583600689999</v>
      </c>
      <c r="BX18" s="10">
        <v>54063.23057123</v>
      </c>
      <c r="BY18" s="10">
        <v>57345.300645620002</v>
      </c>
      <c r="BZ18" s="10">
        <v>62962.881531630002</v>
      </c>
      <c r="CA18" s="10">
        <v>59418.650657600003</v>
      </c>
      <c r="CB18" s="10">
        <v>64443.199783069998</v>
      </c>
      <c r="CC18" s="10">
        <v>72990.568532379999</v>
      </c>
      <c r="CD18" s="10">
        <v>69516.544019749999</v>
      </c>
      <c r="CE18" s="10">
        <v>70108.173530570013</v>
      </c>
      <c r="CF18" s="10">
        <v>70935.286591249998</v>
      </c>
      <c r="CG18" s="11">
        <v>68239.040156700008</v>
      </c>
      <c r="CH18" s="10">
        <v>74925.559599230008</v>
      </c>
      <c r="CI18" s="10">
        <v>69849.510117920014</v>
      </c>
      <c r="CJ18" s="10">
        <v>65839.419089999996</v>
      </c>
      <c r="CK18" s="10">
        <v>73188.314140020011</v>
      </c>
      <c r="CL18" s="10">
        <v>73484.371131270003</v>
      </c>
      <c r="CM18" s="10">
        <v>72664.726674210004</v>
      </c>
      <c r="CN18" s="10"/>
      <c r="CO18" s="10"/>
    </row>
    <row r="19" spans="1:93" s="12" customFormat="1" x14ac:dyDescent="0.2">
      <c r="A19" s="9" t="s">
        <v>16</v>
      </c>
      <c r="B19" s="10">
        <v>624.80101218000004</v>
      </c>
      <c r="C19" s="10">
        <v>634.31884195999999</v>
      </c>
      <c r="D19" s="10">
        <v>758.96051051000006</v>
      </c>
      <c r="E19" s="10">
        <v>773.90220231000001</v>
      </c>
      <c r="F19" s="10">
        <v>679.81375045000004</v>
      </c>
      <c r="G19" s="10">
        <v>723.32115585000008</v>
      </c>
      <c r="H19" s="10">
        <v>701.46833230999994</v>
      </c>
      <c r="I19" s="10">
        <v>787.23358318999999</v>
      </c>
      <c r="J19" s="10">
        <v>769.26412811000012</v>
      </c>
      <c r="K19" s="10">
        <v>773.88585515</v>
      </c>
      <c r="L19" s="10">
        <v>848.5348429899999</v>
      </c>
      <c r="M19" s="11">
        <v>784.88080033999995</v>
      </c>
      <c r="N19" s="10">
        <v>887.89424200000008</v>
      </c>
      <c r="O19" s="10">
        <v>828.19658099999992</v>
      </c>
      <c r="P19" s="10">
        <v>815.38030300000003</v>
      </c>
      <c r="Q19" s="10">
        <v>861.71881199999996</v>
      </c>
      <c r="R19" s="10">
        <v>926.35448300000007</v>
      </c>
      <c r="S19" s="10">
        <v>868.02105400000005</v>
      </c>
      <c r="T19" s="10">
        <v>902.53425800000002</v>
      </c>
      <c r="U19" s="10">
        <v>924.31605000000002</v>
      </c>
      <c r="V19" s="10">
        <v>908.828172</v>
      </c>
      <c r="W19" s="10">
        <v>983.87270899999999</v>
      </c>
      <c r="X19" s="10">
        <v>1032.4924129999999</v>
      </c>
      <c r="Y19" s="11">
        <v>1154.1002080000001</v>
      </c>
      <c r="Z19" s="10">
        <v>1225.7036069999999</v>
      </c>
      <c r="AA19" s="10">
        <v>1350.9957570000001</v>
      </c>
      <c r="AB19" s="10">
        <v>1616.8804210000001</v>
      </c>
      <c r="AC19" s="10">
        <v>1479.7233649999998</v>
      </c>
      <c r="AD19" s="10">
        <v>1341.3649869999999</v>
      </c>
      <c r="AE19" s="10">
        <v>1499.8687719999998</v>
      </c>
      <c r="AF19" s="10">
        <v>1602.014977</v>
      </c>
      <c r="AG19" s="10">
        <v>1657.4475400000001</v>
      </c>
      <c r="AH19" s="10">
        <v>1746.5788569999997</v>
      </c>
      <c r="AI19" s="10">
        <v>1778.6048410000001</v>
      </c>
      <c r="AJ19" s="10">
        <v>1853.5328460000001</v>
      </c>
      <c r="AK19" s="11">
        <v>1818.674769</v>
      </c>
      <c r="AL19" s="10">
        <v>2010.0601340000003</v>
      </c>
      <c r="AM19" s="10">
        <v>2042.3951240000001</v>
      </c>
      <c r="AN19" s="10">
        <v>2777.621459</v>
      </c>
      <c r="AO19" s="10">
        <v>2361.9242810000001</v>
      </c>
      <c r="AP19" s="10">
        <v>2462.1237340000002</v>
      </c>
      <c r="AQ19" s="10">
        <v>2519.8010409999997</v>
      </c>
      <c r="AR19" s="10">
        <v>2974.9861569999998</v>
      </c>
      <c r="AS19" s="10">
        <v>3092.3559959999998</v>
      </c>
      <c r="AT19" s="10">
        <v>3105.5779680000001</v>
      </c>
      <c r="AU19" s="10">
        <v>3176.923162</v>
      </c>
      <c r="AV19" s="10">
        <v>3357.2241599999998</v>
      </c>
      <c r="AW19" s="11">
        <v>3524.5797619999998</v>
      </c>
      <c r="AX19" s="10">
        <v>4043.4618710000004</v>
      </c>
      <c r="AY19" s="10">
        <v>4224.191366</v>
      </c>
      <c r="AZ19" s="10">
        <v>5647.8690640000004</v>
      </c>
      <c r="BA19" s="10">
        <v>4904.050929</v>
      </c>
      <c r="BB19" s="10">
        <v>5456.5433949999997</v>
      </c>
      <c r="BC19" s="10">
        <v>5713.4856519999994</v>
      </c>
      <c r="BD19" s="10">
        <v>6280.1740360000003</v>
      </c>
      <c r="BE19" s="10">
        <v>6625.0438369999993</v>
      </c>
      <c r="BF19" s="10">
        <v>7438.5271780000003</v>
      </c>
      <c r="BG19" s="10">
        <v>8439.4702149999994</v>
      </c>
      <c r="BH19" s="10">
        <v>9086.3295610000005</v>
      </c>
      <c r="BI19" s="11">
        <v>9897.5559409999987</v>
      </c>
      <c r="BJ19" s="10">
        <v>12437.580204000002</v>
      </c>
      <c r="BK19" s="10">
        <v>13552.963943000001</v>
      </c>
      <c r="BL19" s="10">
        <v>14498.823603999999</v>
      </c>
      <c r="BM19" s="10">
        <v>15480.848678</v>
      </c>
      <c r="BN19" s="10">
        <v>20766.798346</v>
      </c>
      <c r="BO19" s="10">
        <v>17598.516668</v>
      </c>
      <c r="BP19" s="10">
        <v>19490.157359000001</v>
      </c>
      <c r="BQ19" s="10">
        <v>19606.065159999998</v>
      </c>
      <c r="BR19" s="10">
        <v>19369.609106</v>
      </c>
      <c r="BS19" s="10">
        <v>19394.879024000002</v>
      </c>
      <c r="BT19" s="10">
        <v>20375.341992000001</v>
      </c>
      <c r="BU19" s="11">
        <v>20368.914843999999</v>
      </c>
      <c r="BV19" s="10">
        <v>22974.744126999998</v>
      </c>
      <c r="BW19" s="10">
        <v>23126.546177999997</v>
      </c>
      <c r="BX19" s="10">
        <v>22596.198699</v>
      </c>
      <c r="BY19" s="10">
        <v>25763.443047000001</v>
      </c>
      <c r="BZ19" s="10">
        <v>29749.596975</v>
      </c>
      <c r="CA19" s="10">
        <v>26396.140689</v>
      </c>
      <c r="CB19" s="10">
        <v>26741.253016999999</v>
      </c>
      <c r="CC19" s="10">
        <v>28027.662985999999</v>
      </c>
      <c r="CD19" s="10">
        <v>27990.360085</v>
      </c>
      <c r="CE19" s="10">
        <v>29273.654122</v>
      </c>
      <c r="CF19" s="10">
        <v>28915.157523000002</v>
      </c>
      <c r="CG19" s="11">
        <v>30939.241511</v>
      </c>
      <c r="CH19" s="10">
        <v>32832.144930999995</v>
      </c>
      <c r="CI19" s="10">
        <v>31578.628874999999</v>
      </c>
      <c r="CJ19" s="10">
        <v>31134.188408999999</v>
      </c>
      <c r="CK19" s="10">
        <v>37756.975129000006</v>
      </c>
      <c r="CL19" s="10">
        <v>33619.390895000004</v>
      </c>
      <c r="CM19" s="10">
        <v>34316.313338</v>
      </c>
      <c r="CN19" s="10">
        <v>33374.641714999998</v>
      </c>
      <c r="CO19" s="10">
        <v>34548.322335999997</v>
      </c>
    </row>
    <row r="20" spans="1:93" s="12" customFormat="1" x14ac:dyDescent="0.2">
      <c r="A20" s="9" t="s">
        <v>17</v>
      </c>
      <c r="B20" s="10">
        <v>640.84075731999997</v>
      </c>
      <c r="C20" s="10">
        <v>636.35215547999996</v>
      </c>
      <c r="D20" s="10">
        <v>667.91843384000003</v>
      </c>
      <c r="E20" s="10">
        <v>702.29081038999993</v>
      </c>
      <c r="F20" s="10">
        <v>727.32579212999997</v>
      </c>
      <c r="G20" s="10">
        <v>719.58509977000006</v>
      </c>
      <c r="H20" s="10">
        <v>709.35344599999985</v>
      </c>
      <c r="I20" s="10">
        <v>789.21071685999993</v>
      </c>
      <c r="J20" s="10">
        <v>829.84698056999991</v>
      </c>
      <c r="K20" s="10">
        <v>806.72741708000012</v>
      </c>
      <c r="L20" s="10">
        <v>865.15030001000002</v>
      </c>
      <c r="M20" s="11">
        <v>871.31841178000002</v>
      </c>
      <c r="N20" s="10">
        <v>864.45253631000014</v>
      </c>
      <c r="O20" s="10">
        <v>859.14729288000001</v>
      </c>
      <c r="P20" s="10">
        <v>872.82510652999997</v>
      </c>
      <c r="Q20" s="10">
        <v>671.99665022000011</v>
      </c>
      <c r="R20" s="10">
        <v>728.25907246999986</v>
      </c>
      <c r="S20" s="10">
        <v>995.35298726999997</v>
      </c>
      <c r="T20" s="10">
        <v>1118.7685731700001</v>
      </c>
      <c r="U20" s="10">
        <v>1055.14589129</v>
      </c>
      <c r="V20" s="10">
        <v>975.98266924999996</v>
      </c>
      <c r="W20" s="10">
        <v>1030.7814451900001</v>
      </c>
      <c r="X20" s="10">
        <v>1069.6847904200001</v>
      </c>
      <c r="Y20" s="11">
        <v>1169.4418378600001</v>
      </c>
      <c r="Z20" s="10">
        <v>1336.9944983400001</v>
      </c>
      <c r="AA20" s="10">
        <v>1246.10357176</v>
      </c>
      <c r="AB20" s="10">
        <v>1416.9745766999999</v>
      </c>
      <c r="AC20" s="10">
        <v>1526.8475761900002</v>
      </c>
      <c r="AD20" s="10">
        <v>1444.4712266499998</v>
      </c>
      <c r="AE20" s="10">
        <v>1528.59136614</v>
      </c>
      <c r="AF20" s="10">
        <v>1686.4183416599997</v>
      </c>
      <c r="AG20" s="10">
        <v>1770.4807385400002</v>
      </c>
      <c r="AH20" s="10">
        <v>1763.5368709300001</v>
      </c>
      <c r="AI20" s="10">
        <v>1792.4366053799999</v>
      </c>
      <c r="AJ20" s="10">
        <v>1927.4449999999999</v>
      </c>
      <c r="AK20" s="11">
        <v>2019.2871039900001</v>
      </c>
      <c r="AL20" s="10">
        <v>2134.2493593700001</v>
      </c>
      <c r="AM20" s="10">
        <v>2100.7482101799997</v>
      </c>
      <c r="AN20" s="10">
        <v>2636.7199863299998</v>
      </c>
      <c r="AO20" s="10">
        <v>2448.9311714000005</v>
      </c>
      <c r="AP20" s="10">
        <v>2629.06233643</v>
      </c>
      <c r="AQ20" s="10">
        <v>2702.3341820499995</v>
      </c>
      <c r="AR20" s="10">
        <v>2962.7803007800003</v>
      </c>
      <c r="AS20" s="10">
        <v>3078.13816812</v>
      </c>
      <c r="AT20" s="10">
        <v>3419.7187706300001</v>
      </c>
      <c r="AU20" s="10">
        <v>3367.9163659999999</v>
      </c>
      <c r="AV20" s="10">
        <v>3641.9455148100001</v>
      </c>
      <c r="AW20" s="11">
        <v>3678.50250005</v>
      </c>
      <c r="AX20" s="10">
        <v>4054.6082443499999</v>
      </c>
      <c r="AY20" s="10">
        <v>4672.7675013999997</v>
      </c>
      <c r="AZ20" s="10">
        <v>5217.8633907900003</v>
      </c>
      <c r="BA20" s="10">
        <v>4894.6575082400004</v>
      </c>
      <c r="BB20" s="10">
        <v>5501.2707372900004</v>
      </c>
      <c r="BC20" s="10">
        <v>5720.600924970001</v>
      </c>
      <c r="BD20" s="10">
        <v>6243.6704348599987</v>
      </c>
      <c r="BE20" s="10">
        <v>6995.792478540001</v>
      </c>
      <c r="BF20" s="10">
        <v>7680.6666837399998</v>
      </c>
      <c r="BG20" s="10">
        <v>7997.6060535899996</v>
      </c>
      <c r="BH20" s="10">
        <v>9435.7047769399996</v>
      </c>
      <c r="BI20" s="11">
        <v>10081.009554120001</v>
      </c>
      <c r="BJ20" s="10">
        <v>12959.622605289998</v>
      </c>
      <c r="BK20" s="10">
        <v>13909.492939799999</v>
      </c>
      <c r="BL20" s="10">
        <v>18170.129065309997</v>
      </c>
      <c r="BM20" s="10">
        <v>15923.33245668</v>
      </c>
      <c r="BN20" s="10">
        <v>18843.292254939999</v>
      </c>
      <c r="BO20" s="10">
        <v>18484.994619610003</v>
      </c>
      <c r="BP20" s="10">
        <v>20395.358217680001</v>
      </c>
      <c r="BQ20" s="10">
        <v>20969.09504502</v>
      </c>
      <c r="BR20" s="10">
        <v>20875.736572620001</v>
      </c>
      <c r="BS20" s="10">
        <v>21055.383677070004</v>
      </c>
      <c r="BT20" s="10">
        <v>23009.467217379999</v>
      </c>
      <c r="BU20" s="11">
        <v>23846.131601819998</v>
      </c>
      <c r="BV20" s="10">
        <v>25661.23409356</v>
      </c>
      <c r="BW20" s="10">
        <v>25455.285659749996</v>
      </c>
      <c r="BX20" s="10">
        <v>31012.033252519996</v>
      </c>
      <c r="BY20" s="10">
        <v>24380.004096380002</v>
      </c>
      <c r="BZ20" s="10">
        <v>26158.69164103</v>
      </c>
      <c r="CA20" s="10">
        <v>26438.972452879996</v>
      </c>
      <c r="CB20" s="10">
        <v>28621.588772980002</v>
      </c>
      <c r="CC20" s="10">
        <v>29151.964043399999</v>
      </c>
      <c r="CD20" s="10">
        <v>28235.574936959998</v>
      </c>
      <c r="CE20" s="10">
        <v>28739.311864059997</v>
      </c>
      <c r="CF20" s="10">
        <v>30341.147912390003</v>
      </c>
      <c r="CG20" s="11">
        <v>32192.860366339995</v>
      </c>
      <c r="CH20" s="10">
        <v>32925.768304559999</v>
      </c>
      <c r="CI20" s="10">
        <v>42241.453328129995</v>
      </c>
      <c r="CJ20" s="10">
        <v>35732.659473699998</v>
      </c>
      <c r="CK20" s="10">
        <v>33109.846819830003</v>
      </c>
      <c r="CL20" s="10">
        <v>33714.644284549999</v>
      </c>
      <c r="CM20" s="10">
        <v>34436.17504129</v>
      </c>
      <c r="CN20" s="10">
        <v>35822.841114149996</v>
      </c>
      <c r="CO20" s="10">
        <v>37869.764002780001</v>
      </c>
    </row>
    <row r="21" spans="1:93" s="12" customFormat="1" x14ac:dyDescent="0.2">
      <c r="A21" s="9" t="s">
        <v>18</v>
      </c>
      <c r="B21" s="10">
        <v>849.99489048000009</v>
      </c>
      <c r="C21" s="10">
        <v>807.43581355000003</v>
      </c>
      <c r="D21" s="10">
        <v>806.54162676999999</v>
      </c>
      <c r="E21" s="10">
        <v>877.75054932</v>
      </c>
      <c r="F21" s="10">
        <v>968.35064692999993</v>
      </c>
      <c r="G21" s="10">
        <v>933.33397756000011</v>
      </c>
      <c r="H21" s="10">
        <v>934.31272515000012</v>
      </c>
      <c r="I21" s="10">
        <v>1010.1422013199999</v>
      </c>
      <c r="J21" s="10">
        <v>1001.43132823</v>
      </c>
      <c r="K21" s="10">
        <v>1088.6110496599999</v>
      </c>
      <c r="L21" s="10">
        <v>1216.73672719</v>
      </c>
      <c r="M21" s="11">
        <v>1159.9780399399999</v>
      </c>
      <c r="N21" s="10">
        <v>1226.71272273</v>
      </c>
      <c r="O21" s="10">
        <v>1144.8661631099999</v>
      </c>
      <c r="P21" s="10">
        <v>1046.4483997899999</v>
      </c>
      <c r="Q21" s="10">
        <v>1020.4458619700001</v>
      </c>
      <c r="R21" s="10">
        <v>811.44041903999982</v>
      </c>
      <c r="S21" s="10">
        <v>740.60141039000007</v>
      </c>
      <c r="T21" s="10">
        <v>915.22951386</v>
      </c>
      <c r="U21" s="10">
        <v>1072.2420088200001</v>
      </c>
      <c r="V21" s="10">
        <v>1000.59759313</v>
      </c>
      <c r="W21" s="10">
        <v>1162.8906688499999</v>
      </c>
      <c r="X21" s="10">
        <v>1331.9159265000003</v>
      </c>
      <c r="Y21" s="11">
        <v>1164.0634130200001</v>
      </c>
      <c r="Z21" s="10">
        <v>1487.03299763</v>
      </c>
      <c r="AA21" s="10">
        <v>1355.6979435199999</v>
      </c>
      <c r="AB21" s="10">
        <v>1479.0204339099998</v>
      </c>
      <c r="AC21" s="10">
        <v>1701.2</v>
      </c>
      <c r="AD21" s="10">
        <v>1703.8888832600001</v>
      </c>
      <c r="AE21" s="10">
        <v>1741.8348971599999</v>
      </c>
      <c r="AF21" s="10">
        <v>1849.88948241</v>
      </c>
      <c r="AG21" s="10">
        <v>2066.0476536800002</v>
      </c>
      <c r="AH21" s="10">
        <v>2106.2826367299999</v>
      </c>
      <c r="AI21" s="10">
        <v>2180.9836381900004</v>
      </c>
      <c r="AJ21" s="10">
        <v>2299.1607225900002</v>
      </c>
      <c r="AK21" s="11">
        <v>2438.8117224699999</v>
      </c>
      <c r="AL21" s="10">
        <v>2613.7678305599998</v>
      </c>
      <c r="AM21" s="10">
        <v>2443.8598820399998</v>
      </c>
      <c r="AN21" s="10">
        <v>2591.3146363800001</v>
      </c>
      <c r="AO21" s="10">
        <v>2807.9053496699999</v>
      </c>
      <c r="AP21" s="10">
        <v>2820.3012173399998</v>
      </c>
      <c r="AQ21" s="10">
        <v>3085.9249762899994</v>
      </c>
      <c r="AR21" s="10">
        <v>3528.6699750399994</v>
      </c>
      <c r="AS21" s="10">
        <v>3629.0505654200006</v>
      </c>
      <c r="AT21" s="10">
        <v>3886.4423422300001</v>
      </c>
      <c r="AU21" s="10">
        <v>3811.6051128099998</v>
      </c>
      <c r="AV21" s="10">
        <v>4215.6750735899996</v>
      </c>
      <c r="AW21" s="11">
        <v>4727.0806918900007</v>
      </c>
      <c r="AX21" s="10">
        <v>5210.8828248500004</v>
      </c>
      <c r="AY21" s="10">
        <v>4789.7818454100006</v>
      </c>
      <c r="AZ21" s="10">
        <v>5630.9382638700008</v>
      </c>
      <c r="BA21" s="10">
        <v>6094.3916085999999</v>
      </c>
      <c r="BB21" s="10">
        <v>6832.6816075699999</v>
      </c>
      <c r="BC21" s="10">
        <v>6749.6945969799999</v>
      </c>
      <c r="BD21" s="10">
        <v>8297.3041399700014</v>
      </c>
      <c r="BE21" s="10">
        <v>8161.37268468</v>
      </c>
      <c r="BF21" s="10">
        <v>8055.3540255799999</v>
      </c>
      <c r="BG21" s="10">
        <v>10539.68806275</v>
      </c>
      <c r="BH21" s="10">
        <v>10620.23826652</v>
      </c>
      <c r="BI21" s="11">
        <v>11303.644514019999</v>
      </c>
      <c r="BJ21" s="10">
        <v>16792.70250648</v>
      </c>
      <c r="BK21" s="10">
        <v>19241.012445460001</v>
      </c>
      <c r="BL21" s="10">
        <v>20136.528439739999</v>
      </c>
      <c r="BM21" s="10">
        <v>21451.64607028</v>
      </c>
      <c r="BN21" s="10">
        <v>22735.281796020001</v>
      </c>
      <c r="BO21" s="10">
        <v>23281.261757509998</v>
      </c>
      <c r="BP21" s="10">
        <v>24987.494564649998</v>
      </c>
      <c r="BQ21" s="10">
        <v>25073.661141389999</v>
      </c>
      <c r="BR21" s="10">
        <v>25940.613949709998</v>
      </c>
      <c r="BS21" s="10">
        <v>27900.631052959998</v>
      </c>
      <c r="BT21" s="10">
        <v>30094.342133589998</v>
      </c>
      <c r="BU21" s="11">
        <v>28737.455199100001</v>
      </c>
      <c r="BV21" s="10">
        <v>33072.018143089997</v>
      </c>
      <c r="BW21" s="10">
        <v>31133.807025760001</v>
      </c>
      <c r="BX21" s="10">
        <v>29451.352423119999</v>
      </c>
      <c r="BY21" s="10">
        <v>29573.808875650004</v>
      </c>
      <c r="BZ21" s="10">
        <v>32518.8581008</v>
      </c>
      <c r="CA21" s="10">
        <v>30020.014127900002</v>
      </c>
      <c r="CB21" s="10">
        <v>31220.255813310003</v>
      </c>
      <c r="CC21" s="10">
        <v>31945.599988730002</v>
      </c>
      <c r="CD21" s="10">
        <v>31228.139986810002</v>
      </c>
      <c r="CE21" s="10">
        <v>32420.400012090002</v>
      </c>
      <c r="CF21" s="10">
        <v>32767.7920271</v>
      </c>
      <c r="CG21" s="11">
        <v>35314.139521999998</v>
      </c>
      <c r="CH21" s="10">
        <v>47808.71615398</v>
      </c>
      <c r="CI21" s="10">
        <v>37598.469695330001</v>
      </c>
      <c r="CJ21" s="10">
        <v>34312.263339910001</v>
      </c>
      <c r="CK21" s="10">
        <v>39377.533218999997</v>
      </c>
      <c r="CL21" s="10">
        <v>38356.290797730006</v>
      </c>
      <c r="CM21" s="10">
        <v>40858.735625169997</v>
      </c>
      <c r="CN21" s="10">
        <v>39842.874388159995</v>
      </c>
      <c r="CO21" s="10"/>
    </row>
    <row r="22" spans="1:93" s="12" customFormat="1" x14ac:dyDescent="0.2">
      <c r="A22" s="9" t="s">
        <v>19</v>
      </c>
      <c r="B22" s="10">
        <v>4921.3024759999998</v>
      </c>
      <c r="C22" s="10">
        <v>5760.2067109999998</v>
      </c>
      <c r="D22" s="10">
        <v>4968.6729539999997</v>
      </c>
      <c r="E22" s="10">
        <v>5498.7</v>
      </c>
      <c r="F22" s="10">
        <v>5682.0237230000002</v>
      </c>
      <c r="G22" s="10">
        <v>5855.9942469999996</v>
      </c>
      <c r="H22" s="10">
        <v>5752.9441940000006</v>
      </c>
      <c r="I22" s="10">
        <v>6535.831433000003</v>
      </c>
      <c r="J22" s="10">
        <v>6803.2926629999984</v>
      </c>
      <c r="K22" s="10">
        <v>6872.2499999999991</v>
      </c>
      <c r="L22" s="10">
        <v>7493.7199999999993</v>
      </c>
      <c r="M22" s="11">
        <v>7630.89</v>
      </c>
      <c r="N22" s="10">
        <v>7303.41</v>
      </c>
      <c r="O22" s="10">
        <v>8487.5899999999983</v>
      </c>
      <c r="P22" s="10">
        <v>6785.33</v>
      </c>
      <c r="Q22" s="10">
        <v>6211.5999999999995</v>
      </c>
      <c r="R22" s="10">
        <v>7621.62</v>
      </c>
      <c r="S22" s="10">
        <v>8479.9900000000016</v>
      </c>
      <c r="T22" s="10">
        <v>9269.6</v>
      </c>
      <c r="U22" s="10">
        <v>9522.31</v>
      </c>
      <c r="V22" s="10">
        <v>9339.33</v>
      </c>
      <c r="W22" s="10">
        <v>9712.7099999999991</v>
      </c>
      <c r="X22" s="10">
        <v>10446.209999999999</v>
      </c>
      <c r="Y22" s="11">
        <v>9729.4</v>
      </c>
      <c r="Z22" s="10">
        <v>10405.9</v>
      </c>
      <c r="AA22" s="10">
        <v>11997.46</v>
      </c>
      <c r="AB22" s="10">
        <v>11015.289999999999</v>
      </c>
      <c r="AC22" s="10">
        <v>12087.109999999999</v>
      </c>
      <c r="AD22" s="10">
        <v>12872.720000000001</v>
      </c>
      <c r="AE22" s="10">
        <v>13612.130000000001</v>
      </c>
      <c r="AF22" s="10">
        <v>13703.470000000001</v>
      </c>
      <c r="AG22" s="10">
        <v>14639.969999999998</v>
      </c>
      <c r="AH22" s="10">
        <v>15087.14</v>
      </c>
      <c r="AI22" s="10">
        <v>15041.5</v>
      </c>
      <c r="AJ22" s="10">
        <v>16231.61</v>
      </c>
      <c r="AK22" s="11">
        <v>16582.57</v>
      </c>
      <c r="AL22" s="10">
        <v>17128.260000000002</v>
      </c>
      <c r="AM22" s="10">
        <v>19320.41</v>
      </c>
      <c r="AN22" s="10">
        <v>16990.7</v>
      </c>
      <c r="AO22" s="10">
        <v>20315.440000000002</v>
      </c>
      <c r="AP22" s="10">
        <v>21892.17</v>
      </c>
      <c r="AQ22" s="10">
        <v>23869.870000000003</v>
      </c>
      <c r="AR22" s="10">
        <v>25461.74</v>
      </c>
      <c r="AS22" s="10">
        <v>25306.53</v>
      </c>
      <c r="AT22" s="10">
        <v>27818.609999999997</v>
      </c>
      <c r="AU22" s="10">
        <v>28235.360000000004</v>
      </c>
      <c r="AV22" s="10">
        <v>28738.519999999997</v>
      </c>
      <c r="AW22" s="11">
        <v>30029.39</v>
      </c>
      <c r="AX22" s="10">
        <v>33505.64</v>
      </c>
      <c r="AY22" s="10">
        <v>34595.31</v>
      </c>
      <c r="AZ22" s="10">
        <v>32866.639999999999</v>
      </c>
      <c r="BA22" s="10">
        <v>38067.11</v>
      </c>
      <c r="BB22" s="10">
        <v>42822.639999999992</v>
      </c>
      <c r="BC22" s="10">
        <v>47774.759999999995</v>
      </c>
      <c r="BD22" s="10">
        <v>51834.630000000005</v>
      </c>
      <c r="BE22" s="10">
        <v>59777.140000000007</v>
      </c>
      <c r="BF22" s="10">
        <v>64496.04</v>
      </c>
      <c r="BG22" s="10">
        <v>72110.000000000015</v>
      </c>
      <c r="BH22" s="10">
        <v>73683.070000000007</v>
      </c>
      <c r="BI22" s="11">
        <v>83901.760000000009</v>
      </c>
      <c r="BJ22" s="10">
        <v>106788.37999999999</v>
      </c>
      <c r="BK22" s="10">
        <v>134048.33000000002</v>
      </c>
      <c r="BL22" s="10">
        <v>129467.99</v>
      </c>
      <c r="BM22" s="10">
        <v>137584.51</v>
      </c>
      <c r="BN22" s="10">
        <v>148510.32999999996</v>
      </c>
      <c r="BO22" s="10">
        <v>161375.98000000001</v>
      </c>
      <c r="BP22" s="10">
        <v>157982.29</v>
      </c>
      <c r="BQ22" s="10">
        <v>177315.62</v>
      </c>
      <c r="BR22" s="10">
        <v>175714.88999999998</v>
      </c>
      <c r="BS22" s="10">
        <v>178323.16</v>
      </c>
      <c r="BT22" s="10">
        <v>187379.75000000003</v>
      </c>
      <c r="BU22" s="11">
        <v>186458.83000000002</v>
      </c>
      <c r="BV22" s="10">
        <v>199786.57</v>
      </c>
      <c r="BW22" s="10">
        <v>255361.88</v>
      </c>
      <c r="BX22" s="10">
        <v>185401.08999999997</v>
      </c>
      <c r="BY22" s="10">
        <v>208889.44999999995</v>
      </c>
      <c r="BZ22" s="10">
        <v>225377.43</v>
      </c>
      <c r="CA22" s="10">
        <v>245665.02</v>
      </c>
      <c r="CB22" s="10">
        <v>247964.69000000003</v>
      </c>
      <c r="CC22" s="10">
        <v>262128.22</v>
      </c>
      <c r="CD22" s="10">
        <v>259248.81</v>
      </c>
      <c r="CE22" s="10">
        <v>273435.86</v>
      </c>
      <c r="CF22" s="10">
        <v>248247.24</v>
      </c>
      <c r="CG22" s="11">
        <v>269893.68</v>
      </c>
      <c r="CH22" s="10">
        <v>288132.27999999997</v>
      </c>
      <c r="CI22" s="10">
        <v>335060.31000000006</v>
      </c>
      <c r="CJ22" s="10">
        <v>249503.32</v>
      </c>
      <c r="CK22" s="10">
        <v>282238.88999999996</v>
      </c>
      <c r="CL22" s="10">
        <v>284533.49</v>
      </c>
      <c r="CM22" s="10">
        <v>299750.12999999995</v>
      </c>
      <c r="CN22" s="10"/>
      <c r="CO22" s="10"/>
    </row>
    <row r="23" spans="1:93" s="12" customFormat="1" x14ac:dyDescent="0.2">
      <c r="A23" s="9" t="s">
        <v>53</v>
      </c>
      <c r="B23" s="10" t="s">
        <v>24</v>
      </c>
      <c r="C23" s="10" t="s">
        <v>24</v>
      </c>
      <c r="D23" s="10" t="s">
        <v>24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1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24</v>
      </c>
      <c r="S23" s="10" t="s">
        <v>24</v>
      </c>
      <c r="T23" s="10" t="s">
        <v>24</v>
      </c>
      <c r="U23" s="10" t="s">
        <v>24</v>
      </c>
      <c r="V23" s="10" t="s">
        <v>24</v>
      </c>
      <c r="W23" s="10" t="s">
        <v>24</v>
      </c>
      <c r="X23" s="10" t="s">
        <v>24</v>
      </c>
      <c r="Y23" s="11" t="s">
        <v>24</v>
      </c>
      <c r="Z23" s="10" t="s">
        <v>24</v>
      </c>
      <c r="AA23" s="10" t="s">
        <v>24</v>
      </c>
      <c r="AB23" s="10" t="s">
        <v>24</v>
      </c>
      <c r="AC23" s="10" t="s">
        <v>24</v>
      </c>
      <c r="AD23" s="10" t="s">
        <v>24</v>
      </c>
      <c r="AE23" s="10" t="s">
        <v>24</v>
      </c>
      <c r="AF23" s="10" t="s">
        <v>24</v>
      </c>
      <c r="AG23" s="10" t="s">
        <v>24</v>
      </c>
      <c r="AH23" s="10" t="s">
        <v>24</v>
      </c>
      <c r="AI23" s="10" t="s">
        <v>24</v>
      </c>
      <c r="AJ23" s="10" t="s">
        <v>24</v>
      </c>
      <c r="AK23" s="11" t="s">
        <v>24</v>
      </c>
      <c r="AL23" s="10" t="s">
        <v>24</v>
      </c>
      <c r="AM23" s="10" t="s">
        <v>24</v>
      </c>
      <c r="AN23" s="10" t="s">
        <v>24</v>
      </c>
      <c r="AO23" s="10" t="s">
        <v>24</v>
      </c>
      <c r="AP23" s="10" t="s">
        <v>24</v>
      </c>
      <c r="AQ23" s="10" t="s">
        <v>24</v>
      </c>
      <c r="AR23" s="10" t="s">
        <v>24</v>
      </c>
      <c r="AS23" s="10" t="s">
        <v>24</v>
      </c>
      <c r="AT23" s="10" t="s">
        <v>24</v>
      </c>
      <c r="AU23" s="10" t="s">
        <v>24</v>
      </c>
      <c r="AV23" s="10" t="s">
        <v>24</v>
      </c>
      <c r="AW23" s="11" t="s">
        <v>24</v>
      </c>
      <c r="AX23" s="10" t="s">
        <v>24</v>
      </c>
      <c r="AY23" s="10" t="s">
        <v>24</v>
      </c>
      <c r="AZ23" s="10" t="s">
        <v>24</v>
      </c>
      <c r="BA23" s="10" t="s">
        <v>24</v>
      </c>
      <c r="BB23" s="10" t="s">
        <v>24</v>
      </c>
      <c r="BC23" s="10" t="s">
        <v>24</v>
      </c>
      <c r="BD23" s="10" t="s">
        <v>24</v>
      </c>
      <c r="BE23" s="10" t="s">
        <v>24</v>
      </c>
      <c r="BF23" s="10" t="s">
        <v>24</v>
      </c>
      <c r="BG23" s="10" t="s">
        <v>24</v>
      </c>
      <c r="BH23" s="10" t="s">
        <v>24</v>
      </c>
      <c r="BI23" s="11" t="s">
        <v>24</v>
      </c>
      <c r="BJ23" s="10">
        <v>8637.7424027100005</v>
      </c>
      <c r="BK23" s="10">
        <v>9088.3150298300006</v>
      </c>
      <c r="BL23" s="10">
        <v>11660.467073849999</v>
      </c>
      <c r="BM23" s="10">
        <v>14113.679953549999</v>
      </c>
      <c r="BN23" s="10">
        <v>12627.861829430001</v>
      </c>
      <c r="BO23" s="10">
        <v>13461.31915234</v>
      </c>
      <c r="BP23" s="10">
        <v>14749.431069049999</v>
      </c>
      <c r="BQ23" s="10">
        <v>16256.54348597</v>
      </c>
      <c r="BR23" s="10">
        <v>16017.2597589</v>
      </c>
      <c r="BS23" s="10">
        <v>16107.500076359998</v>
      </c>
      <c r="BT23" s="10">
        <v>16601.34682088</v>
      </c>
      <c r="BU23" s="11">
        <v>15645.96284507</v>
      </c>
      <c r="BV23" s="10">
        <v>17611.473024080002</v>
      </c>
      <c r="BW23" s="10">
        <v>16014.46222386</v>
      </c>
      <c r="BX23" s="10">
        <v>17564.563443229999</v>
      </c>
      <c r="BY23" s="10">
        <v>23719.965473120003</v>
      </c>
      <c r="BZ23" s="10">
        <v>20976.249878769999</v>
      </c>
      <c r="CA23" s="10">
        <v>22887.981122010002</v>
      </c>
      <c r="CB23" s="10">
        <v>22913.60812619</v>
      </c>
      <c r="CC23" s="10">
        <v>22997.610412779999</v>
      </c>
      <c r="CD23" s="10">
        <v>23019.521795429999</v>
      </c>
      <c r="CE23" s="10">
        <v>23365.747341790004</v>
      </c>
      <c r="CF23" s="10">
        <v>24845.041279360001</v>
      </c>
      <c r="CG23" s="11">
        <v>22468.188532100005</v>
      </c>
      <c r="CH23" s="10">
        <v>22738.89673534</v>
      </c>
      <c r="CI23" s="10">
        <v>20785.314477730004</v>
      </c>
      <c r="CJ23" s="10">
        <v>25819.08733491</v>
      </c>
      <c r="CK23" s="10">
        <v>25556.922012120001</v>
      </c>
      <c r="CL23" s="10">
        <v>30433.307209570001</v>
      </c>
      <c r="CM23" s="10">
        <v>33878.8831603</v>
      </c>
      <c r="CN23" s="10">
        <v>33131.056637579997</v>
      </c>
      <c r="CO23" s="10">
        <v>33821.175800030003</v>
      </c>
    </row>
    <row r="24" spans="1:93" s="12" customFormat="1" x14ac:dyDescent="0.2">
      <c r="A24" s="9" t="s">
        <v>54</v>
      </c>
      <c r="B24" s="10">
        <v>625.55051846000003</v>
      </c>
      <c r="C24" s="10">
        <v>576.50044615000002</v>
      </c>
      <c r="D24" s="10">
        <v>586.55123402000004</v>
      </c>
      <c r="E24" s="10">
        <v>650.16713069000002</v>
      </c>
      <c r="F24" s="10">
        <v>772.20188067000004</v>
      </c>
      <c r="G24" s="10">
        <v>739.19499991999987</v>
      </c>
      <c r="H24" s="10">
        <v>735.1811865599999</v>
      </c>
      <c r="I24" s="10">
        <v>741.42718377000006</v>
      </c>
      <c r="J24" s="10">
        <v>797.6706110099999</v>
      </c>
      <c r="K24" s="10">
        <v>790.5672146899999</v>
      </c>
      <c r="L24" s="10">
        <v>862.37536147000003</v>
      </c>
      <c r="M24" s="11">
        <v>805.05643555999995</v>
      </c>
      <c r="N24" s="10">
        <v>867.59389635999992</v>
      </c>
      <c r="O24" s="10">
        <v>828.52706097999999</v>
      </c>
      <c r="P24" s="10">
        <v>790.14486994999993</v>
      </c>
      <c r="Q24" s="10">
        <v>689.00155384999994</v>
      </c>
      <c r="R24" s="10">
        <v>611.94783884000003</v>
      </c>
      <c r="S24" s="10">
        <v>656.48292702000003</v>
      </c>
      <c r="T24" s="10">
        <v>884.90572236999992</v>
      </c>
      <c r="U24" s="10">
        <v>977.91507499999989</v>
      </c>
      <c r="V24" s="10">
        <v>873.52159125999992</v>
      </c>
      <c r="W24" s="10">
        <v>990.6941968399999</v>
      </c>
      <c r="X24" s="10">
        <v>1096.1612659100001</v>
      </c>
      <c r="Y24" s="11">
        <v>1174.6506607900001</v>
      </c>
      <c r="Z24" s="10">
        <v>1326.17860483</v>
      </c>
      <c r="AA24" s="10">
        <v>1205.93746397</v>
      </c>
      <c r="AB24" s="10">
        <v>1287.7756340999999</v>
      </c>
      <c r="AC24" s="10">
        <v>1497.61251898</v>
      </c>
      <c r="AD24" s="10">
        <v>1431.8481635900002</v>
      </c>
      <c r="AE24" s="10">
        <v>1511.8193952800002</v>
      </c>
      <c r="AF24" s="10">
        <v>1665.6452152400002</v>
      </c>
      <c r="AG24" s="10">
        <v>1865.70849679</v>
      </c>
      <c r="AH24" s="10">
        <v>1847.2544940600001</v>
      </c>
      <c r="AI24" s="10">
        <v>1787.3311327200004</v>
      </c>
      <c r="AJ24" s="10">
        <v>1802.9497277799999</v>
      </c>
      <c r="AK24" s="11">
        <v>1874.4060191999997</v>
      </c>
      <c r="AL24" s="10">
        <v>2089.4678705299998</v>
      </c>
      <c r="AM24" s="10">
        <v>1786.87820308</v>
      </c>
      <c r="AN24" s="10">
        <v>2008.6056568499998</v>
      </c>
      <c r="AO24" s="10">
        <v>2494.86624467</v>
      </c>
      <c r="AP24" s="10">
        <v>2452.5333933100001</v>
      </c>
      <c r="AQ24" s="10">
        <v>2804.89015672</v>
      </c>
      <c r="AR24" s="10">
        <v>3375.1213998499998</v>
      </c>
      <c r="AS24" s="10">
        <v>3755.8194313999998</v>
      </c>
      <c r="AT24" s="10">
        <v>3731.2278211900002</v>
      </c>
      <c r="AU24" s="10">
        <v>3800.7829692100004</v>
      </c>
      <c r="AV24" s="10">
        <v>4267.7803428799998</v>
      </c>
      <c r="AW24" s="11">
        <v>4524.2019238100002</v>
      </c>
      <c r="AX24" s="10">
        <v>4780.4505707099997</v>
      </c>
      <c r="AY24" s="10">
        <v>4160.3351468299998</v>
      </c>
      <c r="AZ24" s="10">
        <v>4840.4558432699996</v>
      </c>
      <c r="BA24" s="10">
        <v>6042.6151054099992</v>
      </c>
      <c r="BB24" s="10">
        <v>6048.98149337</v>
      </c>
      <c r="BC24" s="10">
        <v>6623.9433950100001</v>
      </c>
      <c r="BD24" s="10">
        <v>7311.3123586499996</v>
      </c>
      <c r="BE24" s="10">
        <v>7501.84872954</v>
      </c>
      <c r="BF24" s="10">
        <v>8821.3148159199991</v>
      </c>
      <c r="BG24" s="10">
        <v>9686.1068637799999</v>
      </c>
      <c r="BH24" s="10">
        <v>10597.437612379999</v>
      </c>
      <c r="BI24" s="11">
        <v>12310.83310149</v>
      </c>
      <c r="BJ24" s="10">
        <v>16562.916606180002</v>
      </c>
      <c r="BK24" s="10">
        <v>14576.969356879999</v>
      </c>
      <c r="BL24" s="10">
        <v>18545.146075619999</v>
      </c>
      <c r="BM24" s="10">
        <v>18102.22711172</v>
      </c>
      <c r="BN24" s="10">
        <v>19993.7167376</v>
      </c>
      <c r="BO24" s="10">
        <v>21753.985015570001</v>
      </c>
      <c r="BP24" s="10">
        <v>20916.574957979999</v>
      </c>
      <c r="BQ24" s="10">
        <v>22367.34580254</v>
      </c>
      <c r="BR24" s="10">
        <v>24616.706951010001</v>
      </c>
      <c r="BS24" s="10">
        <v>25199.979801469999</v>
      </c>
      <c r="BT24" s="10">
        <v>27206.945687179999</v>
      </c>
      <c r="BU24" s="11">
        <v>27768.459193340001</v>
      </c>
      <c r="BV24" s="10">
        <v>29302.327359559997</v>
      </c>
      <c r="BW24" s="10">
        <v>26827.820712860001</v>
      </c>
      <c r="BX24" s="10">
        <v>24989.308494519999</v>
      </c>
      <c r="BY24" s="10">
        <v>27317.299857810001</v>
      </c>
      <c r="BZ24" s="10">
        <v>30893.88596422</v>
      </c>
      <c r="CA24" s="10">
        <v>29427.94044165</v>
      </c>
      <c r="CB24" s="10">
        <v>32430.700377630001</v>
      </c>
      <c r="CC24" s="10">
        <v>33432.426514029998</v>
      </c>
      <c r="CD24" s="10">
        <v>33530.629171120003</v>
      </c>
      <c r="CE24" s="10">
        <v>33399.683469529999</v>
      </c>
      <c r="CF24" s="10">
        <v>35175.750503750009</v>
      </c>
      <c r="CG24" s="11">
        <v>34812.607462</v>
      </c>
      <c r="CH24" s="10">
        <v>35478.823186470006</v>
      </c>
      <c r="CI24" s="10">
        <v>32414.29364376</v>
      </c>
      <c r="CJ24" s="10">
        <v>30776.875077750003</v>
      </c>
      <c r="CK24" s="10">
        <v>37829.610412950002</v>
      </c>
      <c r="CL24" s="10">
        <v>33557.704529490002</v>
      </c>
      <c r="CM24" s="10">
        <v>33641.508495089998</v>
      </c>
      <c r="CN24" s="10">
        <v>36095.923896389999</v>
      </c>
      <c r="CO24" s="10"/>
    </row>
    <row r="25" spans="1:93" s="12" customFormat="1" x14ac:dyDescent="0.2">
      <c r="A25" s="9" t="s">
        <v>20</v>
      </c>
      <c r="B25" s="10">
        <v>2042.2358279999999</v>
      </c>
      <c r="C25" s="10">
        <v>1842.100342</v>
      </c>
      <c r="D25" s="10">
        <v>1761.4917830000002</v>
      </c>
      <c r="E25" s="10">
        <v>1878.4967099999999</v>
      </c>
      <c r="F25" s="10">
        <v>2056.168807</v>
      </c>
      <c r="G25" s="10">
        <v>2090.860537</v>
      </c>
      <c r="H25" s="10">
        <v>2249.484528</v>
      </c>
      <c r="I25" s="10">
        <v>2322.9863260000002</v>
      </c>
      <c r="J25" s="10">
        <v>2463.0176509999997</v>
      </c>
      <c r="K25" s="10">
        <v>2416.735866</v>
      </c>
      <c r="L25" s="10">
        <v>2712.6444059999994</v>
      </c>
      <c r="M25" s="11">
        <v>3043.9577279999994</v>
      </c>
      <c r="N25" s="10">
        <v>2765.1230350000001</v>
      </c>
      <c r="O25" s="10">
        <v>2497.9383249999996</v>
      </c>
      <c r="P25" s="10">
        <v>2288.2566060000004</v>
      </c>
      <c r="Q25" s="10">
        <v>2176.6808999999998</v>
      </c>
      <c r="R25" s="10">
        <v>2441.0116560000001</v>
      </c>
      <c r="S25" s="10">
        <v>2824.9665909999999</v>
      </c>
      <c r="T25" s="10">
        <v>3187.9318880000001</v>
      </c>
      <c r="U25" s="10">
        <v>3427.0867069999999</v>
      </c>
      <c r="V25" s="10">
        <v>3440.1186009999997</v>
      </c>
      <c r="W25" s="10">
        <v>3553.028155</v>
      </c>
      <c r="X25" s="10">
        <v>3935.051657</v>
      </c>
      <c r="Y25" s="11">
        <v>4485.8880090000002</v>
      </c>
      <c r="Z25" s="10">
        <v>4434.9257309999994</v>
      </c>
      <c r="AA25" s="10">
        <v>3753.89462</v>
      </c>
      <c r="AB25" s="10">
        <v>3932.1433280000001</v>
      </c>
      <c r="AC25" s="10">
        <v>4433.5299580000001</v>
      </c>
      <c r="AD25" s="10">
        <v>4465.7783690000006</v>
      </c>
      <c r="AE25" s="10">
        <v>4695.5697170000003</v>
      </c>
      <c r="AF25" s="10">
        <v>5171.1004729999995</v>
      </c>
      <c r="AG25" s="10">
        <v>5476.3086899999998</v>
      </c>
      <c r="AH25" s="10">
        <v>5651.9200689999998</v>
      </c>
      <c r="AI25" s="10">
        <v>5769.9975839999997</v>
      </c>
      <c r="AJ25" s="10">
        <v>6248.1045720000002</v>
      </c>
      <c r="AK25" s="11">
        <v>7295.4465209999998</v>
      </c>
      <c r="AL25" s="10">
        <v>6950.9363899999998</v>
      </c>
      <c r="AM25" s="10">
        <v>6048.3702559999992</v>
      </c>
      <c r="AN25" s="10">
        <v>6274.2917669999988</v>
      </c>
      <c r="AO25" s="10">
        <v>7192.6057659999997</v>
      </c>
      <c r="AP25" s="10">
        <v>7563.5110460000005</v>
      </c>
      <c r="AQ25" s="10">
        <v>7979.0602720000006</v>
      </c>
      <c r="AR25" s="10">
        <v>9011.3159600000017</v>
      </c>
      <c r="AS25" s="10">
        <v>9387.1645829999998</v>
      </c>
      <c r="AT25" s="10">
        <v>9969.8285720000022</v>
      </c>
      <c r="AU25" s="10">
        <v>10295.672435</v>
      </c>
      <c r="AV25" s="10">
        <v>10648.307820000002</v>
      </c>
      <c r="AW25" s="11">
        <v>13274.267193</v>
      </c>
      <c r="AX25" s="10">
        <v>13069.085676999999</v>
      </c>
      <c r="AY25" s="10">
        <v>11378.782039</v>
      </c>
      <c r="AZ25" s="10">
        <v>12266.376140999999</v>
      </c>
      <c r="BA25" s="10">
        <v>14213.820416999999</v>
      </c>
      <c r="BB25" s="10">
        <v>15271.137384999998</v>
      </c>
      <c r="BC25" s="10">
        <v>16486.540305000002</v>
      </c>
      <c r="BD25" s="10">
        <v>19141.663202000003</v>
      </c>
      <c r="BE25" s="10">
        <v>20200.320799999994</v>
      </c>
      <c r="BF25" s="10">
        <v>23047.569632999999</v>
      </c>
      <c r="BG25" s="10">
        <v>25156.313867000001</v>
      </c>
      <c r="BH25" s="10">
        <v>28553.300627000001</v>
      </c>
      <c r="BI25" s="11">
        <v>36142.628337000002</v>
      </c>
      <c r="BJ25" s="10">
        <v>43555.211790000001</v>
      </c>
      <c r="BK25" s="10">
        <v>39529.550090999997</v>
      </c>
      <c r="BL25" s="10">
        <v>42757.624022000004</v>
      </c>
      <c r="BM25" s="10">
        <v>49224.405572999996</v>
      </c>
      <c r="BN25" s="10">
        <v>53079.654333999999</v>
      </c>
      <c r="BO25" s="10">
        <v>57333.890542000001</v>
      </c>
      <c r="BP25" s="10">
        <v>61928.024145000003</v>
      </c>
      <c r="BQ25" s="10">
        <v>68229.637927999996</v>
      </c>
      <c r="BR25" s="10">
        <v>72408.152958000006</v>
      </c>
      <c r="BS25" s="10">
        <v>69081.350896000004</v>
      </c>
      <c r="BT25" s="10">
        <v>75508.175680999993</v>
      </c>
      <c r="BU25" s="11">
        <v>89918.356176000001</v>
      </c>
      <c r="BV25" s="10">
        <v>85679.582015000007</v>
      </c>
      <c r="BW25" s="10">
        <v>81197.040766000006</v>
      </c>
      <c r="BX25" s="10">
        <v>77532.501069000005</v>
      </c>
      <c r="BY25" s="10">
        <v>82896.195923000007</v>
      </c>
      <c r="BZ25" s="10">
        <v>93092.749584000005</v>
      </c>
      <c r="CA25" s="10">
        <v>94603.825104000003</v>
      </c>
      <c r="CB25" s="10">
        <v>95086.640507999997</v>
      </c>
      <c r="CC25" s="10">
        <v>101175.321717</v>
      </c>
      <c r="CD25" s="10">
        <v>99535.541582999998</v>
      </c>
      <c r="CE25" s="10">
        <v>99884.006133000003</v>
      </c>
      <c r="CF25" s="10">
        <v>104674.95545199999</v>
      </c>
      <c r="CG25" s="11">
        <v>113442.590283</v>
      </c>
      <c r="CH25" s="10">
        <v>113499.01943</v>
      </c>
      <c r="CI25" s="10">
        <v>99218.207187000007</v>
      </c>
      <c r="CJ25" s="10">
        <v>97740.314626000007</v>
      </c>
      <c r="CK25" s="10">
        <v>107722.411271</v>
      </c>
      <c r="CL25" s="10">
        <v>110446.52122900001</v>
      </c>
      <c r="CM25" s="10">
        <v>115179.08281399999</v>
      </c>
      <c r="CN25" s="10">
        <v>122016.99726</v>
      </c>
      <c r="CO25" s="10"/>
    </row>
    <row r="26" spans="1:93" s="12" customFormat="1" ht="12" thickBot="1" x14ac:dyDescent="0.3">
      <c r="A26" s="13" t="s">
        <v>1</v>
      </c>
      <c r="B26" s="14">
        <f t="shared" ref="B26:AG26" si="0">SUM(B2:B25)</f>
        <v>79681.643689810007</v>
      </c>
      <c r="C26" s="15">
        <f t="shared" si="0"/>
        <v>79546.943431410007</v>
      </c>
      <c r="D26" s="15">
        <f t="shared" si="0"/>
        <v>74031.122010749998</v>
      </c>
      <c r="E26" s="15">
        <f t="shared" si="0"/>
        <v>77120.032101139994</v>
      </c>
      <c r="F26" s="15">
        <f t="shared" si="0"/>
        <v>80979.263176080014</v>
      </c>
      <c r="G26" s="15">
        <f t="shared" si="0"/>
        <v>82253.391601800016</v>
      </c>
      <c r="H26" s="15">
        <f t="shared" si="0"/>
        <v>83102.227408819977</v>
      </c>
      <c r="I26" s="15">
        <f t="shared" si="0"/>
        <v>89132.506463130019</v>
      </c>
      <c r="J26" s="15">
        <f t="shared" si="0"/>
        <v>95047.62035528</v>
      </c>
      <c r="K26" s="15">
        <f t="shared" si="0"/>
        <v>93716.309153399983</v>
      </c>
      <c r="L26" s="15">
        <f t="shared" si="0"/>
        <v>100044.98694368999</v>
      </c>
      <c r="M26" s="16">
        <f t="shared" si="0"/>
        <v>95782.763755959997</v>
      </c>
      <c r="N26" s="14">
        <f t="shared" si="0"/>
        <v>106720.89837278996</v>
      </c>
      <c r="O26" s="15">
        <f t="shared" si="0"/>
        <v>110542.68692391709</v>
      </c>
      <c r="P26" s="15">
        <f t="shared" si="0"/>
        <v>103842.30246904999</v>
      </c>
      <c r="Q26" s="15">
        <f t="shared" si="0"/>
        <v>84942.796440860009</v>
      </c>
      <c r="R26" s="15">
        <f t="shared" si="0"/>
        <v>91892.324541099995</v>
      </c>
      <c r="S26" s="15">
        <f t="shared" si="0"/>
        <v>101518.91844409</v>
      </c>
      <c r="T26" s="15">
        <f t="shared" si="0"/>
        <v>107308.89216342001</v>
      </c>
      <c r="U26" s="15">
        <f t="shared" si="0"/>
        <v>115103.62597843999</v>
      </c>
      <c r="V26" s="15">
        <f t="shared" si="0"/>
        <v>120527.37013671</v>
      </c>
      <c r="W26" s="15">
        <f t="shared" si="0"/>
        <v>123493.08000752001</v>
      </c>
      <c r="X26" s="15">
        <f t="shared" si="0"/>
        <v>131940.00897162</v>
      </c>
      <c r="Y26" s="16">
        <f t="shared" si="0"/>
        <v>133825.80740610001</v>
      </c>
      <c r="Z26" s="14">
        <f t="shared" si="0"/>
        <v>158674.19855666003</v>
      </c>
      <c r="AA26" s="15">
        <f t="shared" si="0"/>
        <v>164899.99026084004</v>
      </c>
      <c r="AB26" s="15">
        <f t="shared" si="0"/>
        <v>164419.66991827002</v>
      </c>
      <c r="AC26" s="15">
        <f t="shared" si="0"/>
        <v>173780.77561354</v>
      </c>
      <c r="AD26" s="15">
        <f t="shared" si="0"/>
        <v>176803.90111514003</v>
      </c>
      <c r="AE26" s="15">
        <f t="shared" si="0"/>
        <v>187453.55716634501</v>
      </c>
      <c r="AF26" s="15">
        <f t="shared" si="0"/>
        <v>191818.37921287006</v>
      </c>
      <c r="AG26" s="15">
        <f t="shared" si="0"/>
        <v>196933.15334133996</v>
      </c>
      <c r="AH26" s="15">
        <f t="shared" ref="AH26:BM26" si="1">SUM(AH2:AH25)</f>
        <v>207695.71121931</v>
      </c>
      <c r="AI26" s="15">
        <f t="shared" si="1"/>
        <v>210304.64142144</v>
      </c>
      <c r="AJ26" s="15">
        <f t="shared" si="1"/>
        <v>223484.87648641001</v>
      </c>
      <c r="AK26" s="16">
        <f t="shared" si="1"/>
        <v>232010.48261251004</v>
      </c>
      <c r="AL26" s="14">
        <f t="shared" si="1"/>
        <v>242770.67088589998</v>
      </c>
      <c r="AM26" s="15">
        <f t="shared" si="1"/>
        <v>255317.70340432</v>
      </c>
      <c r="AN26" s="15">
        <f t="shared" si="1"/>
        <v>269462.90603968001</v>
      </c>
      <c r="AO26" s="15">
        <f t="shared" si="1"/>
        <v>283211.95008781005</v>
      </c>
      <c r="AP26" s="15">
        <f t="shared" si="1"/>
        <v>308565.97104162001</v>
      </c>
      <c r="AQ26" s="15">
        <f t="shared" si="1"/>
        <v>328706.65946733998</v>
      </c>
      <c r="AR26" s="15">
        <f t="shared" si="1"/>
        <v>356775.45147375</v>
      </c>
      <c r="AS26" s="15">
        <f t="shared" si="1"/>
        <v>371280.45601126988</v>
      </c>
      <c r="AT26" s="15">
        <f t="shared" si="1"/>
        <v>401153.61941991007</v>
      </c>
      <c r="AU26" s="15">
        <f t="shared" si="1"/>
        <v>414383.01577750006</v>
      </c>
      <c r="AV26" s="15">
        <f t="shared" si="1"/>
        <v>434508.25611762976</v>
      </c>
      <c r="AW26" s="16">
        <f t="shared" si="1"/>
        <v>449590.73960847995</v>
      </c>
      <c r="AX26" s="14">
        <f t="shared" si="1"/>
        <v>505723.24840893992</v>
      </c>
      <c r="AY26" s="15">
        <f t="shared" si="1"/>
        <v>518194.32366843987</v>
      </c>
      <c r="AZ26" s="15">
        <f t="shared" si="1"/>
        <v>556192.88440959936</v>
      </c>
      <c r="BA26" s="15">
        <f t="shared" si="1"/>
        <v>590741.89850833977</v>
      </c>
      <c r="BB26" s="15">
        <f t="shared" si="1"/>
        <v>645491.93811431981</v>
      </c>
      <c r="BC26" s="15">
        <f t="shared" si="1"/>
        <v>706062.11464098946</v>
      </c>
      <c r="BD26" s="15">
        <f t="shared" si="1"/>
        <v>771451.16673496645</v>
      </c>
      <c r="BE26" s="15">
        <f t="shared" si="1"/>
        <v>841485.55307085952</v>
      </c>
      <c r="BF26" s="15">
        <f t="shared" si="1"/>
        <v>953152.4382658588</v>
      </c>
      <c r="BG26" s="15">
        <f t="shared" si="1"/>
        <v>1052905.1908521692</v>
      </c>
      <c r="BH26" s="15">
        <f t="shared" si="1"/>
        <v>1147605.7494931396</v>
      </c>
      <c r="BI26" s="16">
        <f t="shared" si="1"/>
        <v>1226674.317692982</v>
      </c>
      <c r="BJ26" s="14">
        <f t="shared" si="1"/>
        <v>1663182.3488895854</v>
      </c>
      <c r="BK26" s="15">
        <f t="shared" si="1"/>
        <v>1914355.6796698407</v>
      </c>
      <c r="BL26" s="15">
        <f t="shared" si="1"/>
        <v>2145457.7751419432</v>
      </c>
      <c r="BM26" s="15">
        <f t="shared" si="1"/>
        <v>2156752.000183044</v>
      </c>
      <c r="BN26" s="15">
        <f t="shared" ref="BN26:CO26" si="2">SUM(BN2:BN25)</f>
        <v>2216726.2063370002</v>
      </c>
      <c r="BO26" s="15">
        <f t="shared" si="2"/>
        <v>2377336.728154934</v>
      </c>
      <c r="BP26" s="15">
        <f t="shared" si="2"/>
        <v>2417553.3686275124</v>
      </c>
      <c r="BQ26" s="15">
        <f t="shared" si="2"/>
        <v>2640499.6083628256</v>
      </c>
      <c r="BR26" s="15">
        <f t="shared" si="2"/>
        <v>2750623.7983125993</v>
      </c>
      <c r="BS26" s="15">
        <f t="shared" si="2"/>
        <v>2798951.3860204248</v>
      </c>
      <c r="BT26" s="15">
        <f t="shared" si="2"/>
        <v>2942962.1227232735</v>
      </c>
      <c r="BU26" s="16">
        <f t="shared" si="2"/>
        <v>2867779.2403938654</v>
      </c>
      <c r="BV26" s="14">
        <f t="shared" si="2"/>
        <v>3058743.6415275983</v>
      </c>
      <c r="BW26" s="15">
        <f t="shared" si="2"/>
        <v>3183579.192796181</v>
      </c>
      <c r="BX26" s="15">
        <f t="shared" si="2"/>
        <v>3101819.3882244332</v>
      </c>
      <c r="BY26" s="15">
        <f t="shared" si="2"/>
        <v>3297715.8738776078</v>
      </c>
      <c r="BZ26" s="15">
        <f t="shared" si="2"/>
        <v>3496700.993832483</v>
      </c>
      <c r="CA26" s="15">
        <f t="shared" si="2"/>
        <v>3463320.4125166507</v>
      </c>
      <c r="CB26" s="15">
        <f t="shared" si="2"/>
        <v>3596638.5314445128</v>
      </c>
      <c r="CC26" s="15">
        <f t="shared" si="2"/>
        <v>3772601.7176153087</v>
      </c>
      <c r="CD26" s="15">
        <f t="shared" si="2"/>
        <v>3831686.4102778113</v>
      </c>
      <c r="CE26" s="15">
        <f t="shared" si="2"/>
        <v>3884488.9432387562</v>
      </c>
      <c r="CF26" s="15">
        <f t="shared" si="2"/>
        <v>3888103.0557011878</v>
      </c>
      <c r="CG26" s="16">
        <f t="shared" si="2"/>
        <v>4021469.9314877889</v>
      </c>
      <c r="CH26" s="14">
        <f t="shared" si="2"/>
        <v>4339645.7466810877</v>
      </c>
      <c r="CI26" s="15">
        <f t="shared" si="2"/>
        <v>4200280.312605693</v>
      </c>
      <c r="CJ26" s="15">
        <f t="shared" si="2"/>
        <v>3967972.8923495845</v>
      </c>
      <c r="CK26" s="15">
        <f t="shared" si="2"/>
        <v>4290099.0855271546</v>
      </c>
      <c r="CL26" s="15">
        <f t="shared" si="2"/>
        <v>4255131.8223819043</v>
      </c>
      <c r="CM26" s="15">
        <f t="shared" si="2"/>
        <v>4484733.3036625143</v>
      </c>
      <c r="CN26" s="15">
        <f t="shared" si="2"/>
        <v>4117598.7082410911</v>
      </c>
      <c r="CO26" s="15">
        <f t="shared" si="2"/>
        <v>2165916.8310418399</v>
      </c>
    </row>
    <row r="27" spans="1:93" ht="12" thickTop="1" x14ac:dyDescent="0.25">
      <c r="A27" s="9"/>
      <c r="B27" s="17"/>
      <c r="C27" s="17"/>
      <c r="D27" s="17"/>
      <c r="E27" s="12"/>
      <c r="F27" s="12"/>
      <c r="G27" s="12"/>
      <c r="H27" s="12"/>
      <c r="N27" s="17"/>
      <c r="O27" s="17"/>
      <c r="P27" s="17"/>
      <c r="Q27" s="12"/>
      <c r="R27" s="12"/>
      <c r="S27" s="12"/>
      <c r="T27" s="12"/>
      <c r="Z27" s="17"/>
      <c r="AA27" s="17"/>
      <c r="AB27" s="17"/>
      <c r="AC27" s="12"/>
      <c r="AD27" s="12"/>
      <c r="AE27" s="12"/>
      <c r="AF27" s="12"/>
      <c r="AL27" s="17"/>
      <c r="AM27" s="17"/>
      <c r="AN27" s="17"/>
      <c r="AO27" s="12"/>
      <c r="AP27" s="12"/>
      <c r="AQ27" s="12"/>
      <c r="AR27" s="12"/>
      <c r="AX27" s="17"/>
      <c r="AY27" s="17"/>
      <c r="AZ27" s="17"/>
      <c r="BA27" s="12"/>
      <c r="BB27" s="12"/>
      <c r="BC27" s="12"/>
      <c r="BD27" s="12"/>
      <c r="BJ27" s="17"/>
      <c r="BK27" s="17"/>
      <c r="BL27" s="17"/>
      <c r="BM27" s="12"/>
      <c r="BN27" s="12"/>
      <c r="BO27" s="12"/>
      <c r="BP27" s="12"/>
      <c r="BV27" s="17"/>
      <c r="BW27" s="17"/>
      <c r="BX27" s="17"/>
      <c r="BY27" s="12"/>
      <c r="BZ27" s="12"/>
      <c r="CA27" s="12"/>
      <c r="CB27" s="12"/>
      <c r="CH27" s="17"/>
      <c r="CI27" s="17"/>
    </row>
    <row r="28" spans="1:93" x14ac:dyDescent="0.25">
      <c r="A28" s="18" t="s">
        <v>64</v>
      </c>
      <c r="B28" s="19"/>
      <c r="D28" s="19"/>
      <c r="E28" s="19"/>
      <c r="N28" s="19"/>
      <c r="P28" s="19"/>
      <c r="Q28" s="19"/>
      <c r="Z28" s="19"/>
      <c r="AB28" s="19"/>
      <c r="AC28" s="19"/>
      <c r="AL28" s="19"/>
      <c r="AN28" s="19"/>
      <c r="AO28" s="19"/>
      <c r="AX28" s="19"/>
      <c r="AZ28" s="19"/>
      <c r="BA28" s="19"/>
      <c r="BJ28" s="19"/>
      <c r="BL28" s="19"/>
      <c r="BM28" s="19"/>
      <c r="BV28" s="19"/>
      <c r="BX28" s="19"/>
      <c r="BY28" s="19"/>
      <c r="CH28" s="19"/>
    </row>
    <row r="29" spans="1:93" x14ac:dyDescent="0.25">
      <c r="A29" s="23" t="s">
        <v>62</v>
      </c>
      <c r="B29" s="19"/>
      <c r="D29" s="19"/>
      <c r="E29" s="19"/>
      <c r="N29" s="19"/>
      <c r="P29" s="19"/>
      <c r="Q29" s="19"/>
      <c r="Z29" s="19"/>
      <c r="AB29" s="19"/>
      <c r="AC29" s="19"/>
      <c r="AL29" s="19"/>
      <c r="AN29" s="19"/>
      <c r="AO29" s="19"/>
      <c r="AX29" s="19"/>
      <c r="AZ29" s="19"/>
      <c r="BA29" s="19"/>
      <c r="BJ29" s="19"/>
      <c r="BL29" s="19"/>
      <c r="BM29" s="19"/>
      <c r="BV29" s="19"/>
      <c r="BX29" s="19"/>
      <c r="BY29" s="19"/>
      <c r="CH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8"/>
  <sheetViews>
    <sheetView workbookViewId="0">
      <pane xSplit="1" ySplit="1" topLeftCell="CA2" activePane="bottomRight" state="frozen"/>
      <selection pane="topRight" activeCell="B1" sqref="B1"/>
      <selection pane="bottomLeft" activeCell="A2" sqref="A2"/>
      <selection pane="bottomRight" activeCell="CM22" sqref="CM22"/>
    </sheetView>
  </sheetViews>
  <sheetFormatPr baseColWidth="10" defaultColWidth="11.5703125" defaultRowHeight="10.5" customHeight="1" x14ac:dyDescent="0.25"/>
  <cols>
    <col min="1" max="1" width="15" style="20" bestFit="1" customWidth="1"/>
    <col min="2" max="11" width="7" style="8" bestFit="1" customWidth="1"/>
    <col min="12" max="12" width="7.85546875" style="8" bestFit="1" customWidth="1"/>
    <col min="13" max="13" width="7" style="8" bestFit="1" customWidth="1"/>
    <col min="14" max="16" width="7.85546875" style="8" bestFit="1" customWidth="1"/>
    <col min="17" max="18" width="7" style="8" bestFit="1" customWidth="1"/>
    <col min="19" max="58" width="7.85546875" style="8" bestFit="1" customWidth="1"/>
    <col min="59" max="93" width="9.140625" style="8" bestFit="1" customWidth="1"/>
    <col min="94" max="16384" width="11.5703125" style="8"/>
  </cols>
  <sheetData>
    <row r="1" spans="1:93" ht="11.25" x14ac:dyDescent="0.25">
      <c r="A1" s="4" t="s">
        <v>0</v>
      </c>
      <c r="B1" s="5">
        <v>43466</v>
      </c>
      <c r="C1" s="6">
        <v>43497</v>
      </c>
      <c r="D1" s="6">
        <v>43525</v>
      </c>
      <c r="E1" s="6">
        <v>43556</v>
      </c>
      <c r="F1" s="6">
        <v>43586</v>
      </c>
      <c r="G1" s="6">
        <v>43617</v>
      </c>
      <c r="H1" s="6">
        <v>43647</v>
      </c>
      <c r="I1" s="6">
        <v>43678</v>
      </c>
      <c r="J1" s="6">
        <v>43709</v>
      </c>
      <c r="K1" s="6">
        <v>43739</v>
      </c>
      <c r="L1" s="6">
        <v>43770</v>
      </c>
      <c r="M1" s="7">
        <v>43800</v>
      </c>
      <c r="N1" s="5">
        <v>43831</v>
      </c>
      <c r="O1" s="6">
        <v>43862</v>
      </c>
      <c r="P1" s="6">
        <v>43891</v>
      </c>
      <c r="Q1" s="6">
        <v>43922</v>
      </c>
      <c r="R1" s="6">
        <v>43952</v>
      </c>
      <c r="S1" s="6">
        <v>43983</v>
      </c>
      <c r="T1" s="6">
        <v>44013</v>
      </c>
      <c r="U1" s="6">
        <v>44044</v>
      </c>
      <c r="V1" s="6">
        <v>44075</v>
      </c>
      <c r="W1" s="6">
        <v>44105</v>
      </c>
      <c r="X1" s="6">
        <v>44136</v>
      </c>
      <c r="Y1" s="7">
        <v>44166</v>
      </c>
      <c r="Z1" s="5">
        <v>44197</v>
      </c>
      <c r="AA1" s="6">
        <v>44228</v>
      </c>
      <c r="AB1" s="6">
        <v>44256</v>
      </c>
      <c r="AC1" s="6">
        <v>44287</v>
      </c>
      <c r="AD1" s="6">
        <v>44317</v>
      </c>
      <c r="AE1" s="6">
        <v>44348</v>
      </c>
      <c r="AF1" s="6">
        <v>44378</v>
      </c>
      <c r="AG1" s="6">
        <v>44409</v>
      </c>
      <c r="AH1" s="6">
        <v>44440</v>
      </c>
      <c r="AI1" s="6">
        <v>44470</v>
      </c>
      <c r="AJ1" s="6">
        <v>44501</v>
      </c>
      <c r="AK1" s="7">
        <v>44531</v>
      </c>
      <c r="AL1" s="5">
        <v>44562</v>
      </c>
      <c r="AM1" s="6">
        <v>44593</v>
      </c>
      <c r="AN1" s="6">
        <v>44621</v>
      </c>
      <c r="AO1" s="6">
        <v>44652</v>
      </c>
      <c r="AP1" s="6">
        <v>44682</v>
      </c>
      <c r="AQ1" s="6">
        <v>44713</v>
      </c>
      <c r="AR1" s="6">
        <v>44743</v>
      </c>
      <c r="AS1" s="6">
        <v>44774</v>
      </c>
      <c r="AT1" s="6">
        <v>44805</v>
      </c>
      <c r="AU1" s="6">
        <v>44835</v>
      </c>
      <c r="AV1" s="6">
        <v>44866</v>
      </c>
      <c r="AW1" s="7">
        <v>44896</v>
      </c>
      <c r="AX1" s="5">
        <v>44927</v>
      </c>
      <c r="AY1" s="6">
        <v>44958</v>
      </c>
      <c r="AZ1" s="6">
        <v>44986</v>
      </c>
      <c r="BA1" s="6">
        <v>45017</v>
      </c>
      <c r="BB1" s="6">
        <v>45047</v>
      </c>
      <c r="BC1" s="6">
        <v>45078</v>
      </c>
      <c r="BD1" s="6">
        <v>45108</v>
      </c>
      <c r="BE1" s="6">
        <v>45139</v>
      </c>
      <c r="BF1" s="6">
        <v>45170</v>
      </c>
      <c r="BG1" s="6">
        <v>45200</v>
      </c>
      <c r="BH1" s="6">
        <v>45231</v>
      </c>
      <c r="BI1" s="7">
        <v>45261</v>
      </c>
      <c r="BJ1" s="5">
        <v>45292</v>
      </c>
      <c r="BK1" s="6">
        <v>45323</v>
      </c>
      <c r="BL1" s="6">
        <v>45352</v>
      </c>
      <c r="BM1" s="6">
        <v>45383</v>
      </c>
      <c r="BN1" s="6">
        <v>45413</v>
      </c>
      <c r="BO1" s="6">
        <v>45444</v>
      </c>
      <c r="BP1" s="6">
        <v>45474</v>
      </c>
      <c r="BQ1" s="6">
        <v>45505</v>
      </c>
      <c r="BR1" s="6">
        <v>45536</v>
      </c>
      <c r="BS1" s="6">
        <v>45566</v>
      </c>
      <c r="BT1" s="6">
        <v>45597</v>
      </c>
      <c r="BU1" s="7">
        <v>45627</v>
      </c>
      <c r="BV1" s="5">
        <v>45658</v>
      </c>
      <c r="BW1" s="6">
        <v>45689</v>
      </c>
      <c r="BX1" s="6">
        <v>45717</v>
      </c>
      <c r="BY1" s="6">
        <v>45748</v>
      </c>
      <c r="BZ1" s="6">
        <v>45778</v>
      </c>
      <c r="CA1" s="6">
        <v>45809</v>
      </c>
      <c r="CB1" s="6">
        <v>45839</v>
      </c>
      <c r="CC1" s="6">
        <v>45870</v>
      </c>
      <c r="CD1" s="6">
        <v>45901</v>
      </c>
      <c r="CE1" s="6">
        <v>45931</v>
      </c>
      <c r="CF1" s="6">
        <v>45962</v>
      </c>
      <c r="CG1" s="7">
        <v>45992</v>
      </c>
      <c r="CH1" s="5">
        <v>46023</v>
      </c>
      <c r="CI1" s="6">
        <v>46054</v>
      </c>
      <c r="CJ1" s="6">
        <v>46082</v>
      </c>
      <c r="CK1" s="6">
        <v>46113</v>
      </c>
      <c r="CL1" s="6">
        <v>46143</v>
      </c>
      <c r="CM1" s="6">
        <v>46174</v>
      </c>
      <c r="CN1" s="6">
        <v>46204</v>
      </c>
      <c r="CO1" s="6">
        <v>46235</v>
      </c>
    </row>
    <row r="2" spans="1:93" s="12" customFormat="1" ht="11.25" x14ac:dyDescent="0.2">
      <c r="A2" s="9" t="s">
        <v>4</v>
      </c>
      <c r="B2" s="10">
        <v>19469.165986939999</v>
      </c>
      <c r="C2" s="10">
        <v>18898.825828770001</v>
      </c>
      <c r="D2" s="10">
        <v>17247.553993850001</v>
      </c>
      <c r="E2" s="10">
        <v>19007.616000000002</v>
      </c>
      <c r="F2" s="10">
        <v>19997.073</v>
      </c>
      <c r="G2" s="10">
        <v>20764.924999999999</v>
      </c>
      <c r="H2" s="10">
        <v>21109.040000000001</v>
      </c>
      <c r="I2" s="10">
        <v>23213.452000000001</v>
      </c>
      <c r="J2" s="10">
        <v>24704.741999999998</v>
      </c>
      <c r="K2" s="10">
        <v>25008.428</v>
      </c>
      <c r="L2" s="10">
        <v>27422.260999999999</v>
      </c>
      <c r="M2" s="11">
        <v>25760.820448549999</v>
      </c>
      <c r="N2" s="10">
        <v>28806.981523119997</v>
      </c>
      <c r="O2" s="10">
        <v>25918.915537340003</v>
      </c>
      <c r="P2" s="10">
        <v>24830.794906100004</v>
      </c>
      <c r="Q2" s="10">
        <v>22536.703000000001</v>
      </c>
      <c r="R2" s="10">
        <v>23607.657999999999</v>
      </c>
      <c r="S2" s="10">
        <v>25474.007000000001</v>
      </c>
      <c r="T2" s="10">
        <v>28422.812999999998</v>
      </c>
      <c r="U2" s="10">
        <v>30114.947</v>
      </c>
      <c r="V2" s="10">
        <v>29651.683000000001</v>
      </c>
      <c r="W2" s="10">
        <v>31136.659</v>
      </c>
      <c r="X2" s="10">
        <v>32220.772000000001</v>
      </c>
      <c r="Y2" s="11">
        <v>36363.885000000002</v>
      </c>
      <c r="Z2" s="10">
        <v>39904.638705340003</v>
      </c>
      <c r="AA2" s="10">
        <v>37375.088638610017</v>
      </c>
      <c r="AB2" s="10">
        <v>39910.550046659999</v>
      </c>
      <c r="AC2" s="10">
        <v>45490.535000000003</v>
      </c>
      <c r="AD2" s="10">
        <v>44892.716999999997</v>
      </c>
      <c r="AE2" s="10">
        <v>48785.995000000003</v>
      </c>
      <c r="AF2" s="10">
        <v>50894.686000000002</v>
      </c>
      <c r="AG2" s="10">
        <v>47018.899671879997</v>
      </c>
      <c r="AH2" s="10">
        <v>48281.048999999999</v>
      </c>
      <c r="AI2" s="10">
        <v>55248.688000000002</v>
      </c>
      <c r="AJ2" s="10">
        <v>60270.927000000003</v>
      </c>
      <c r="AK2" s="11">
        <v>61099.982000000004</v>
      </c>
      <c r="AL2" s="10">
        <v>63607.762420380008</v>
      </c>
      <c r="AM2" s="10">
        <v>59649.700520320002</v>
      </c>
      <c r="AN2" s="10">
        <v>65658.817034890017</v>
      </c>
      <c r="AO2" s="10">
        <v>74722.879061100015</v>
      </c>
      <c r="AP2" s="10">
        <v>80183.052721729982</v>
      </c>
      <c r="AQ2" s="10">
        <v>86689.81029111</v>
      </c>
      <c r="AR2" s="10">
        <v>98074.046228000007</v>
      </c>
      <c r="AS2" s="10">
        <v>95519.71806146999</v>
      </c>
      <c r="AT2" s="10">
        <v>102564.62844477998</v>
      </c>
      <c r="AU2" s="10">
        <v>109297.34802872001</v>
      </c>
      <c r="AV2" s="10">
        <v>108270.44706985007</v>
      </c>
      <c r="AW2" s="11">
        <v>115200.18679779999</v>
      </c>
      <c r="AX2" s="10">
        <v>130799.78047385982</v>
      </c>
      <c r="AY2" s="10">
        <v>119237.9428183898</v>
      </c>
      <c r="AZ2" s="10">
        <v>135057.12552093982</v>
      </c>
      <c r="BA2" s="10">
        <v>153197.92573491985</v>
      </c>
      <c r="BB2" s="10">
        <v>165554.96505239973</v>
      </c>
      <c r="BC2" s="10">
        <v>180109.11323055948</v>
      </c>
      <c r="BD2" s="10">
        <v>199092.82273951959</v>
      </c>
      <c r="BE2" s="10">
        <v>215351.83145848932</v>
      </c>
      <c r="BF2" s="10">
        <v>242939.43288136908</v>
      </c>
      <c r="BG2" s="10">
        <v>274312.9151508892</v>
      </c>
      <c r="BH2" s="10">
        <v>296861.20995190012</v>
      </c>
      <c r="BI2" s="11">
        <v>311681.9701860997</v>
      </c>
      <c r="BJ2" s="10">
        <v>428334.40793718153</v>
      </c>
      <c r="BK2" s="10">
        <v>486570.59388966521</v>
      </c>
      <c r="BL2" s="10">
        <v>645347.34750431264</v>
      </c>
      <c r="BM2" s="10">
        <v>568904.97079028375</v>
      </c>
      <c r="BN2" s="10">
        <v>536788.27046601241</v>
      </c>
      <c r="BO2" s="10">
        <v>574402.54905865481</v>
      </c>
      <c r="BP2" s="10">
        <v>624934.45601933205</v>
      </c>
      <c r="BQ2" s="10">
        <v>660303.13786625513</v>
      </c>
      <c r="BR2" s="10">
        <v>680231.72157087573</v>
      </c>
      <c r="BS2" s="10">
        <v>732376.79707604437</v>
      </c>
      <c r="BT2" s="10">
        <v>754879.99795937468</v>
      </c>
      <c r="BU2" s="11">
        <v>756716.27991481568</v>
      </c>
      <c r="BV2" s="10">
        <v>801028.67715117859</v>
      </c>
      <c r="BW2" s="10">
        <v>766738.37267896091</v>
      </c>
      <c r="BX2" s="10">
        <v>730649.20040879992</v>
      </c>
      <c r="BY2" s="10">
        <v>829273.77245297004</v>
      </c>
      <c r="BZ2" s="10">
        <v>872228.18980384036</v>
      </c>
      <c r="CA2" s="10">
        <v>860880.73551355046</v>
      </c>
      <c r="CB2" s="10">
        <v>907341.98639136017</v>
      </c>
      <c r="CC2" s="10">
        <v>940605.70219512819</v>
      </c>
      <c r="CD2" s="10">
        <v>950550.07445641002</v>
      </c>
      <c r="CE2" s="10">
        <v>992273.79390946869</v>
      </c>
      <c r="CF2" s="10">
        <v>948570.50418139657</v>
      </c>
      <c r="CG2" s="11">
        <v>1031334.0161565744</v>
      </c>
      <c r="CH2" s="10">
        <v>1086193.5263529173</v>
      </c>
      <c r="CI2" s="10">
        <v>961709.43477138923</v>
      </c>
      <c r="CJ2" s="10">
        <v>944164.53880939633</v>
      </c>
      <c r="CK2" s="10">
        <v>1084984.6854309849</v>
      </c>
      <c r="CL2" s="10">
        <v>1060147.2614873406</v>
      </c>
      <c r="CM2" s="10">
        <v>1156260.9193777842</v>
      </c>
      <c r="CN2" s="10">
        <v>1197577.6290516299</v>
      </c>
      <c r="CO2" s="10"/>
    </row>
    <row r="3" spans="1:93" s="12" customFormat="1" ht="11.25" x14ac:dyDescent="0.2">
      <c r="A3" s="9" t="s">
        <v>2</v>
      </c>
      <c r="B3" s="10">
        <v>12611.1</v>
      </c>
      <c r="C3" s="10">
        <v>12684.1</v>
      </c>
      <c r="D3" s="10">
        <v>11368.4</v>
      </c>
      <c r="E3" s="10">
        <v>13211.1</v>
      </c>
      <c r="F3" s="10">
        <v>13541.2</v>
      </c>
      <c r="G3" s="10">
        <v>13649</v>
      </c>
      <c r="H3" s="10">
        <v>14401.2</v>
      </c>
      <c r="I3" s="10">
        <v>15210.6</v>
      </c>
      <c r="J3" s="10">
        <v>16472.599999999999</v>
      </c>
      <c r="K3" s="10">
        <v>16296.7</v>
      </c>
      <c r="L3" s="10">
        <v>18612.5</v>
      </c>
      <c r="M3" s="11">
        <v>17845.3</v>
      </c>
      <c r="N3" s="10">
        <v>18761.5</v>
      </c>
      <c r="O3" s="10">
        <v>18499</v>
      </c>
      <c r="P3" s="10">
        <v>16493.2</v>
      </c>
      <c r="Q3" s="10">
        <v>14973.8</v>
      </c>
      <c r="R3" s="10">
        <v>16776.5</v>
      </c>
      <c r="S3" s="10">
        <v>17490.400000000001</v>
      </c>
      <c r="T3" s="10">
        <v>19183.7</v>
      </c>
      <c r="U3" s="10">
        <v>21037.200000000001</v>
      </c>
      <c r="V3" s="10">
        <v>22899.9</v>
      </c>
      <c r="W3" s="10">
        <v>23675.3</v>
      </c>
      <c r="X3" s="10">
        <v>23367</v>
      </c>
      <c r="Y3" s="11">
        <v>23633.5</v>
      </c>
      <c r="Z3" s="10">
        <v>28177.9</v>
      </c>
      <c r="AA3" s="10">
        <v>27902.5</v>
      </c>
      <c r="AB3" s="10">
        <v>26120.9</v>
      </c>
      <c r="AC3" s="10">
        <v>29916.1</v>
      </c>
      <c r="AD3" s="10">
        <v>32532</v>
      </c>
      <c r="AE3" s="10">
        <v>33075.599999999999</v>
      </c>
      <c r="AF3" s="10">
        <v>34552.800000000003</v>
      </c>
      <c r="AG3" s="10">
        <v>36424.6</v>
      </c>
      <c r="AH3" s="10">
        <v>38149.599999999999</v>
      </c>
      <c r="AI3" s="10">
        <v>39851.4</v>
      </c>
      <c r="AJ3" s="10">
        <v>42764.9</v>
      </c>
      <c r="AK3" s="11">
        <v>44439</v>
      </c>
      <c r="AL3" s="10">
        <v>47378.400000000001</v>
      </c>
      <c r="AM3" s="10">
        <v>44415</v>
      </c>
      <c r="AN3" s="10">
        <v>43795.4</v>
      </c>
      <c r="AO3" s="10">
        <v>52626.5</v>
      </c>
      <c r="AP3" s="10">
        <v>55637.2</v>
      </c>
      <c r="AQ3" s="10">
        <v>61207.3</v>
      </c>
      <c r="AR3" s="10">
        <v>66484.5</v>
      </c>
      <c r="AS3" s="10">
        <v>71054.899999999994</v>
      </c>
      <c r="AT3" s="10">
        <v>81030.8</v>
      </c>
      <c r="AU3" s="10">
        <v>88021.1</v>
      </c>
      <c r="AV3" s="10">
        <v>92653.8</v>
      </c>
      <c r="AW3" s="11">
        <v>98795.199999999997</v>
      </c>
      <c r="AX3" s="10">
        <v>110799.6</v>
      </c>
      <c r="AY3" s="10">
        <v>106617.9</v>
      </c>
      <c r="AZ3" s="10">
        <v>107785.1</v>
      </c>
      <c r="BA3" s="10">
        <v>129864</v>
      </c>
      <c r="BB3" s="10">
        <v>141849.60000000001</v>
      </c>
      <c r="BC3" s="10">
        <v>163293.9</v>
      </c>
      <c r="BD3" s="10">
        <v>182889.2</v>
      </c>
      <c r="BE3" s="10">
        <v>195182.9</v>
      </c>
      <c r="BF3" s="10">
        <v>237624.4</v>
      </c>
      <c r="BG3" s="10">
        <v>262022.6</v>
      </c>
      <c r="BH3" s="10">
        <v>290128.59999999998</v>
      </c>
      <c r="BI3" s="11">
        <v>313290</v>
      </c>
      <c r="BJ3" s="10">
        <v>398009.59999999998</v>
      </c>
      <c r="BK3" s="10">
        <v>396259.7</v>
      </c>
      <c r="BL3" s="10">
        <v>410409.2</v>
      </c>
      <c r="BM3" s="10">
        <v>453180.1</v>
      </c>
      <c r="BN3" s="10">
        <v>476859.7</v>
      </c>
      <c r="BO3" s="10">
        <v>492292.3</v>
      </c>
      <c r="BP3" s="10">
        <v>468321.7</v>
      </c>
      <c r="BQ3" s="10">
        <v>512970.6</v>
      </c>
      <c r="BR3" s="10">
        <v>525667.80000000005</v>
      </c>
      <c r="BS3" s="10">
        <v>510934.1</v>
      </c>
      <c r="BT3" s="10">
        <v>546517.80000000005</v>
      </c>
      <c r="BU3" s="11">
        <v>555416.30000000005</v>
      </c>
      <c r="BV3" s="10">
        <v>594667.9</v>
      </c>
      <c r="BW3" s="10">
        <v>580377.5</v>
      </c>
      <c r="BX3" s="10">
        <v>541400</v>
      </c>
      <c r="BY3" s="10">
        <v>574044</v>
      </c>
      <c r="BZ3" s="10">
        <v>630408.4</v>
      </c>
      <c r="CA3" s="10">
        <v>608896.4</v>
      </c>
      <c r="CB3" s="10">
        <v>620015.6</v>
      </c>
      <c r="CC3" s="10">
        <v>689753</v>
      </c>
      <c r="CD3" s="10">
        <v>710053.2</v>
      </c>
      <c r="CE3" s="10">
        <v>750756.1</v>
      </c>
      <c r="CF3" s="10">
        <v>767058.3</v>
      </c>
      <c r="CG3" s="11">
        <v>698779.1</v>
      </c>
      <c r="CH3" s="10">
        <v>759579.1</v>
      </c>
      <c r="CI3" s="10">
        <v>711180.3</v>
      </c>
      <c r="CJ3" s="10">
        <v>644673.9</v>
      </c>
      <c r="CK3" s="10">
        <v>714719.7</v>
      </c>
      <c r="CL3" s="10">
        <v>750198.5</v>
      </c>
      <c r="CM3" s="10">
        <v>737506.4</v>
      </c>
      <c r="CN3" s="10">
        <v>783413.9</v>
      </c>
      <c r="CO3" s="10">
        <v>807806.2</v>
      </c>
    </row>
    <row r="4" spans="1:93" s="12" customFormat="1" ht="11.25" x14ac:dyDescent="0.2">
      <c r="A4" s="9" t="s">
        <v>23</v>
      </c>
      <c r="B4" s="10">
        <v>307.42736760000003</v>
      </c>
      <c r="C4" s="10">
        <v>258.57509921000002</v>
      </c>
      <c r="D4" s="10">
        <v>259.25183362000001</v>
      </c>
      <c r="E4" s="10">
        <v>263.53100000000001</v>
      </c>
      <c r="F4" s="10">
        <v>279.23668777</v>
      </c>
      <c r="G4" s="10">
        <v>286.41306264000002</v>
      </c>
      <c r="H4" s="10">
        <v>280.45173190999998</v>
      </c>
      <c r="I4" s="10">
        <v>282.48556007000002</v>
      </c>
      <c r="J4" s="10">
        <v>320.44666995</v>
      </c>
      <c r="K4" s="10">
        <v>374.92979765000001</v>
      </c>
      <c r="L4" s="10">
        <v>374.80001382</v>
      </c>
      <c r="M4" s="11">
        <v>338.29459008999999</v>
      </c>
      <c r="N4" s="10">
        <v>352.02712113000001</v>
      </c>
      <c r="O4" s="10">
        <v>345.53387315999998</v>
      </c>
      <c r="P4" s="10">
        <v>322.73215399000003</v>
      </c>
      <c r="Q4" s="10">
        <v>362.72443873999998</v>
      </c>
      <c r="R4" s="10">
        <v>353.92002635</v>
      </c>
      <c r="S4" s="10">
        <v>397.61475297000004</v>
      </c>
      <c r="T4" s="10">
        <v>438.82770661000001</v>
      </c>
      <c r="U4" s="10">
        <v>442.32752163999999</v>
      </c>
      <c r="V4" s="10">
        <v>439.64684101</v>
      </c>
      <c r="W4" s="10">
        <v>455.32390099999998</v>
      </c>
      <c r="X4" s="10">
        <v>462.84231012999999</v>
      </c>
      <c r="Y4" s="11">
        <v>483.73475569999999</v>
      </c>
      <c r="Z4" s="10">
        <v>554.81843403999994</v>
      </c>
      <c r="AA4" s="10">
        <v>511.45737088999999</v>
      </c>
      <c r="AB4" s="10">
        <v>517.09</v>
      </c>
      <c r="AC4" s="10">
        <v>756.23800000000006</v>
      </c>
      <c r="AD4" s="10">
        <v>582.28470870000001</v>
      </c>
      <c r="AE4" s="10">
        <v>666.34334060000003</v>
      </c>
      <c r="AF4" s="10">
        <v>708.16454878000002</v>
      </c>
      <c r="AG4" s="10">
        <v>772.26718117999997</v>
      </c>
      <c r="AH4" s="10">
        <v>879.47588181000003</v>
      </c>
      <c r="AI4" s="10">
        <v>978.05198206000102</v>
      </c>
      <c r="AJ4" s="10">
        <v>1059.8056357299999</v>
      </c>
      <c r="AK4" s="11">
        <v>1153.9154903399985</v>
      </c>
      <c r="AL4" s="10">
        <v>1120.8390416699999</v>
      </c>
      <c r="AM4" s="10">
        <v>1003.7338818399999</v>
      </c>
      <c r="AN4" s="10">
        <v>1136.5701588200004</v>
      </c>
      <c r="AO4" s="10">
        <v>1141.7854135599996</v>
      </c>
      <c r="AP4" s="10">
        <v>1136.2186443400005</v>
      </c>
      <c r="AQ4" s="10">
        <v>1751.6117512000001</v>
      </c>
      <c r="AR4" s="10">
        <v>1574.1007874399993</v>
      </c>
      <c r="AS4" s="10">
        <v>1783.4066486000011</v>
      </c>
      <c r="AT4" s="10">
        <v>1982.8104630099988</v>
      </c>
      <c r="AU4" s="10">
        <v>1969.6715239500008</v>
      </c>
      <c r="AV4" s="10">
        <v>2254.5843694699997</v>
      </c>
      <c r="AW4" s="11">
        <v>2213.6473160999994</v>
      </c>
      <c r="AX4" s="10">
        <v>2299.2292521999998</v>
      </c>
      <c r="AY4" s="10">
        <v>2124.2458004700002</v>
      </c>
      <c r="AZ4" s="10">
        <v>2397.4896242699997</v>
      </c>
      <c r="BA4" s="10">
        <v>2873.9460244300017</v>
      </c>
      <c r="BB4" s="10">
        <v>2977.8885086399987</v>
      </c>
      <c r="BC4" s="10">
        <v>3563.5331013600007</v>
      </c>
      <c r="BD4" s="10">
        <v>3976.45882428</v>
      </c>
      <c r="BE4" s="10">
        <v>4277.1899999999996</v>
      </c>
      <c r="BF4" s="10">
        <v>4678.59</v>
      </c>
      <c r="BG4" s="10">
        <v>5202.8620825700018</v>
      </c>
      <c r="BH4" s="10">
        <v>5665.2440418499973</v>
      </c>
      <c r="BI4" s="11">
        <v>5925.4571286900027</v>
      </c>
      <c r="BJ4" s="10">
        <v>8099.3865453899998</v>
      </c>
      <c r="BK4" s="10">
        <v>9398.42589176</v>
      </c>
      <c r="BL4" s="10">
        <v>9122.8777154300005</v>
      </c>
      <c r="BM4" s="10">
        <v>10327.21260384</v>
      </c>
      <c r="BN4" s="10">
        <v>12166.970565109999</v>
      </c>
      <c r="BO4" s="10">
        <v>12560.388475059999</v>
      </c>
      <c r="BP4" s="10">
        <v>12002.12346515</v>
      </c>
      <c r="BQ4" s="10">
        <v>13283.86758074</v>
      </c>
      <c r="BR4" s="10">
        <v>14020.96697566</v>
      </c>
      <c r="BS4" s="10">
        <v>14636.62425578</v>
      </c>
      <c r="BT4" s="10">
        <v>16753.545094130001</v>
      </c>
      <c r="BU4" s="11">
        <v>15448.8706396</v>
      </c>
      <c r="BV4" s="10">
        <v>16993.487715889998</v>
      </c>
      <c r="BW4" s="10">
        <v>14805.80208836</v>
      </c>
      <c r="BX4" s="10">
        <v>13729.7181229</v>
      </c>
      <c r="BY4" s="10">
        <v>14536.51986393</v>
      </c>
      <c r="BZ4" s="10">
        <v>16392.718457020001</v>
      </c>
      <c r="CA4" s="10">
        <v>16548.906689480002</v>
      </c>
      <c r="CB4" s="10">
        <v>16806.699577250001</v>
      </c>
      <c r="CC4" s="10">
        <v>16999.968538410001</v>
      </c>
      <c r="CD4" s="10">
        <v>18224.4077693</v>
      </c>
      <c r="CE4" s="10">
        <v>19430.392361130002</v>
      </c>
      <c r="CF4" s="10">
        <v>18632.347746979998</v>
      </c>
      <c r="CG4" s="11">
        <v>17712.050580390001</v>
      </c>
      <c r="CH4" s="10">
        <v>21870.151581810002</v>
      </c>
      <c r="CI4" s="10">
        <v>18769.000077920002</v>
      </c>
      <c r="CJ4" s="10">
        <v>18127.227409530002</v>
      </c>
      <c r="CK4" s="10">
        <v>20732.330873160001</v>
      </c>
      <c r="CL4" s="10">
        <v>20529.255093479998</v>
      </c>
      <c r="CM4" s="10">
        <v>21657.432749209998</v>
      </c>
      <c r="CN4" s="10">
        <v>23144.8214386</v>
      </c>
      <c r="CO4" s="10">
        <v>21835.974275619999</v>
      </c>
    </row>
    <row r="5" spans="1:93" s="12" customFormat="1" ht="11.25" x14ac:dyDescent="0.2">
      <c r="A5" s="9" t="s">
        <v>5</v>
      </c>
      <c r="B5" s="10">
        <v>680.98035808999998</v>
      </c>
      <c r="C5" s="10">
        <v>605.51694940999994</v>
      </c>
      <c r="D5" s="10">
        <v>574.96754395000005</v>
      </c>
      <c r="E5" s="10">
        <v>606.64989647000004</v>
      </c>
      <c r="F5" s="10">
        <v>646.71323114999996</v>
      </c>
      <c r="G5" s="10">
        <v>652.94039083000007</v>
      </c>
      <c r="H5" s="10">
        <v>708.46933032000004</v>
      </c>
      <c r="I5" s="10">
        <v>743.43347480999989</v>
      </c>
      <c r="J5" s="10">
        <v>871.4943277000001</v>
      </c>
      <c r="K5" s="10">
        <v>778.55945051999993</v>
      </c>
      <c r="L5" s="10">
        <v>842.19981207000001</v>
      </c>
      <c r="M5" s="11">
        <v>813.35472842999991</v>
      </c>
      <c r="N5" s="10">
        <v>1073.2369900199999</v>
      </c>
      <c r="O5" s="10">
        <v>923.40167187999998</v>
      </c>
      <c r="P5" s="10">
        <v>784.63262051000004</v>
      </c>
      <c r="Q5" s="10">
        <v>776.87912262999998</v>
      </c>
      <c r="R5" s="10">
        <v>842.87908573000004</v>
      </c>
      <c r="S5" s="10">
        <v>957.24020408000001</v>
      </c>
      <c r="T5" s="10">
        <v>1000.2268470499999</v>
      </c>
      <c r="U5" s="10">
        <v>1069.43892858</v>
      </c>
      <c r="V5" s="10">
        <v>1038.77275979</v>
      </c>
      <c r="W5" s="10">
        <v>1106.6567929600001</v>
      </c>
      <c r="X5" s="10">
        <v>1210.8388149699999</v>
      </c>
      <c r="Y5" s="11">
        <v>1181.9562825400001</v>
      </c>
      <c r="Z5" s="10">
        <v>1392.4638605499999</v>
      </c>
      <c r="AA5" s="10">
        <v>1248.6746984900001</v>
      </c>
      <c r="AB5" s="10">
        <v>1368.1387341700001</v>
      </c>
      <c r="AC5" s="10">
        <v>1489.94308333</v>
      </c>
      <c r="AD5" s="10">
        <v>1542.0668825499999</v>
      </c>
      <c r="AE5" s="10">
        <v>1641.9167442600001</v>
      </c>
      <c r="AF5" s="10">
        <v>1852.74808302</v>
      </c>
      <c r="AG5" s="10">
        <v>1915.9469694899999</v>
      </c>
      <c r="AH5" s="10">
        <v>1921.10244253</v>
      </c>
      <c r="AI5" s="10">
        <v>2006.71327606</v>
      </c>
      <c r="AJ5" s="10">
        <v>2106.53330211</v>
      </c>
      <c r="AK5" s="11">
        <v>2197.1866938899998</v>
      </c>
      <c r="AL5" s="10">
        <v>2185.4967838699999</v>
      </c>
      <c r="AM5" s="10">
        <v>2115.6564627299999</v>
      </c>
      <c r="AN5" s="10">
        <v>2303.1269349999998</v>
      </c>
      <c r="AO5" s="10">
        <v>2533.8571557800001</v>
      </c>
      <c r="AP5" s="10">
        <v>2905.5839941899999</v>
      </c>
      <c r="AQ5" s="10">
        <v>3125.91018932</v>
      </c>
      <c r="AR5" s="10">
        <v>3416.1621316199999</v>
      </c>
      <c r="AS5" s="10">
        <v>3398.6732217100002</v>
      </c>
      <c r="AT5" s="10">
        <v>3656.0810360999999</v>
      </c>
      <c r="AU5" s="10">
        <v>4070.1727162299999</v>
      </c>
      <c r="AV5" s="10">
        <v>4094.6362994299998</v>
      </c>
      <c r="AW5" s="11">
        <v>4345.0419599999996</v>
      </c>
      <c r="AX5" s="10">
        <v>4815.28991692</v>
      </c>
      <c r="AY5" s="10">
        <v>4369.8692733799999</v>
      </c>
      <c r="AZ5" s="10">
        <v>4909.5681276000005</v>
      </c>
      <c r="BA5" s="10">
        <v>5244.8805706000003</v>
      </c>
      <c r="BB5" s="10">
        <v>6018.3069534899996</v>
      </c>
      <c r="BC5" s="10">
        <v>6520.2592408299997</v>
      </c>
      <c r="BD5" s="10">
        <v>7024.5221325900002</v>
      </c>
      <c r="BE5" s="10">
        <v>7659.5160267199999</v>
      </c>
      <c r="BF5" s="10">
        <v>8617.5444929799996</v>
      </c>
      <c r="BG5" s="10">
        <v>9632.5402529900002</v>
      </c>
      <c r="BH5" s="10">
        <v>10032.621285159999</v>
      </c>
      <c r="BI5" s="11">
        <v>10903.554870110002</v>
      </c>
      <c r="BJ5" s="10">
        <v>12983.343524850001</v>
      </c>
      <c r="BK5" s="10">
        <v>13864.745954600001</v>
      </c>
      <c r="BL5" s="10">
        <v>15035.02505844</v>
      </c>
      <c r="BM5" s="10">
        <v>15687.87096278</v>
      </c>
      <c r="BN5" s="10">
        <v>16771.490665400001</v>
      </c>
      <c r="BO5" s="10">
        <v>18679.236500340001</v>
      </c>
      <c r="BP5" s="10">
        <v>20921.794342169997</v>
      </c>
      <c r="BQ5" s="10">
        <v>22694.275258540001</v>
      </c>
      <c r="BR5" s="10">
        <v>23462.943269669999</v>
      </c>
      <c r="BS5" s="10">
        <v>22536.573956240001</v>
      </c>
      <c r="BT5" s="10">
        <v>24041.583003919997</v>
      </c>
      <c r="BU5" s="11">
        <v>24483.03195212</v>
      </c>
      <c r="BV5" s="10">
        <v>25616.409025339999</v>
      </c>
      <c r="BW5" s="10">
        <v>24788.69787271</v>
      </c>
      <c r="BX5" s="10">
        <v>23561.911803430001</v>
      </c>
      <c r="BY5" s="10">
        <v>25194.755037070001</v>
      </c>
      <c r="BZ5" s="10">
        <v>27534.793885540003</v>
      </c>
      <c r="CA5" s="10">
        <v>27255.335711720003</v>
      </c>
      <c r="CB5" s="10">
        <v>27201.764010169998</v>
      </c>
      <c r="CC5" s="10">
        <v>29260.89381161</v>
      </c>
      <c r="CD5" s="10">
        <v>28388.43716904</v>
      </c>
      <c r="CE5" s="10">
        <v>28379.415694029998</v>
      </c>
      <c r="CF5" s="10">
        <v>27573.179623939999</v>
      </c>
      <c r="CG5" s="11">
        <v>30009.01768759</v>
      </c>
      <c r="CH5" s="10">
        <v>33654.962143930003</v>
      </c>
      <c r="CI5" s="10">
        <v>31721.619537909999</v>
      </c>
      <c r="CJ5" s="10">
        <v>28963.609582929999</v>
      </c>
      <c r="CK5" s="10">
        <v>30813.302239560002</v>
      </c>
      <c r="CL5" s="10">
        <v>31627.758203330002</v>
      </c>
      <c r="CM5" s="10">
        <v>33417.513189389996</v>
      </c>
      <c r="CN5" s="10">
        <v>36452.558499650004</v>
      </c>
      <c r="CO5" s="10">
        <v>37011.910176819998</v>
      </c>
    </row>
    <row r="6" spans="1:93" s="12" customFormat="1" ht="11.25" x14ac:dyDescent="0.2">
      <c r="A6" s="9" t="s">
        <v>26</v>
      </c>
      <c r="B6" s="10">
        <v>1047</v>
      </c>
      <c r="C6" s="10">
        <v>912</v>
      </c>
      <c r="D6" s="10">
        <v>970</v>
      </c>
      <c r="E6" s="10">
        <v>1050</v>
      </c>
      <c r="F6" s="10">
        <v>1114</v>
      </c>
      <c r="G6" s="10">
        <v>987</v>
      </c>
      <c r="H6" s="10">
        <v>1075</v>
      </c>
      <c r="I6" s="10">
        <v>1201</v>
      </c>
      <c r="J6" s="10">
        <v>1187</v>
      </c>
      <c r="K6" s="10">
        <v>1358</v>
      </c>
      <c r="L6" s="10">
        <v>1325</v>
      </c>
      <c r="M6" s="11">
        <v>1178</v>
      </c>
      <c r="N6" s="10">
        <v>1272</v>
      </c>
      <c r="O6" s="10">
        <v>1386</v>
      </c>
      <c r="P6" s="10">
        <v>1259</v>
      </c>
      <c r="Q6" s="10">
        <v>1112</v>
      </c>
      <c r="R6" s="10">
        <v>1042</v>
      </c>
      <c r="S6" s="10">
        <v>1109</v>
      </c>
      <c r="T6" s="10">
        <v>1024</v>
      </c>
      <c r="U6" s="10">
        <v>1033</v>
      </c>
      <c r="V6" s="10">
        <v>1388</v>
      </c>
      <c r="W6" s="10">
        <v>1563</v>
      </c>
      <c r="X6" s="10">
        <v>1564</v>
      </c>
      <c r="Y6" s="11">
        <v>1513</v>
      </c>
      <c r="Z6" s="10">
        <v>1646</v>
      </c>
      <c r="AA6" s="10">
        <v>1676</v>
      </c>
      <c r="AB6" s="10">
        <v>1874</v>
      </c>
      <c r="AC6" s="10">
        <v>2081</v>
      </c>
      <c r="AD6" s="10">
        <v>2208</v>
      </c>
      <c r="AE6" s="10">
        <v>2263</v>
      </c>
      <c r="AF6" s="10">
        <v>2466</v>
      </c>
      <c r="AG6" s="10">
        <v>2471</v>
      </c>
      <c r="AH6" s="10">
        <v>2594</v>
      </c>
      <c r="AI6" s="10">
        <v>2501</v>
      </c>
      <c r="AJ6" s="10">
        <v>2619</v>
      </c>
      <c r="AK6" s="11">
        <v>2665</v>
      </c>
      <c r="AL6" s="10">
        <v>2789</v>
      </c>
      <c r="AM6" s="10">
        <v>2583</v>
      </c>
      <c r="AN6" s="10">
        <v>2833</v>
      </c>
      <c r="AO6" s="10">
        <v>3141</v>
      </c>
      <c r="AP6" s="10">
        <v>3168</v>
      </c>
      <c r="AQ6" s="10">
        <v>3367</v>
      </c>
      <c r="AR6" s="10">
        <v>4255</v>
      </c>
      <c r="AS6" s="10">
        <v>4371</v>
      </c>
      <c r="AT6" s="10">
        <v>4771</v>
      </c>
      <c r="AU6" s="10">
        <v>4817</v>
      </c>
      <c r="AV6" s="10">
        <v>5228</v>
      </c>
      <c r="AW6" s="11">
        <v>5663</v>
      </c>
      <c r="AX6" s="10">
        <v>6339</v>
      </c>
      <c r="AY6" s="10">
        <v>6090</v>
      </c>
      <c r="AZ6" s="10">
        <v>6603</v>
      </c>
      <c r="BA6" s="10">
        <v>7634</v>
      </c>
      <c r="BB6" s="10">
        <v>8145</v>
      </c>
      <c r="BC6" s="10">
        <v>7588</v>
      </c>
      <c r="BD6" s="10">
        <v>9125</v>
      </c>
      <c r="BE6" s="10">
        <v>10864</v>
      </c>
      <c r="BF6" s="10">
        <v>11226</v>
      </c>
      <c r="BG6" s="10">
        <v>13306</v>
      </c>
      <c r="BH6" s="10">
        <v>12773</v>
      </c>
      <c r="BI6" s="11">
        <v>14156</v>
      </c>
      <c r="BJ6" s="10">
        <v>19579</v>
      </c>
      <c r="BK6" s="10">
        <v>25294</v>
      </c>
      <c r="BL6" s="10">
        <v>24254</v>
      </c>
      <c r="BM6" s="10">
        <v>26344</v>
      </c>
      <c r="BN6" s="10">
        <v>27852</v>
      </c>
      <c r="BO6" s="10">
        <v>31547</v>
      </c>
      <c r="BP6" s="10">
        <v>29177</v>
      </c>
      <c r="BQ6" s="10">
        <v>29719</v>
      </c>
      <c r="BR6" s="10">
        <v>30718</v>
      </c>
      <c r="BS6" s="10">
        <v>32026</v>
      </c>
      <c r="BT6" s="10">
        <v>34176</v>
      </c>
      <c r="BU6" s="11">
        <v>34337</v>
      </c>
      <c r="BV6" s="10">
        <v>36468</v>
      </c>
      <c r="BW6" s="10">
        <v>36651</v>
      </c>
      <c r="BX6" s="10">
        <v>35580</v>
      </c>
      <c r="BY6" s="10">
        <v>36487</v>
      </c>
      <c r="BZ6" s="10">
        <v>38131</v>
      </c>
      <c r="CA6" s="10">
        <v>38685</v>
      </c>
      <c r="CB6" s="10">
        <v>43623</v>
      </c>
      <c r="CC6" s="10">
        <v>43660</v>
      </c>
      <c r="CD6" s="10">
        <v>43209</v>
      </c>
      <c r="CE6" s="10">
        <v>48238</v>
      </c>
      <c r="CF6" s="10">
        <v>41912</v>
      </c>
      <c r="CG6" s="11">
        <v>47152</v>
      </c>
      <c r="CH6" s="10">
        <v>49522</v>
      </c>
      <c r="CI6" s="10">
        <v>45753</v>
      </c>
      <c r="CJ6" s="10">
        <v>41764</v>
      </c>
      <c r="CK6" s="10">
        <v>46964</v>
      </c>
      <c r="CL6" s="10">
        <v>48912</v>
      </c>
      <c r="CM6" s="10">
        <v>48360</v>
      </c>
      <c r="CN6" s="10">
        <v>59118</v>
      </c>
      <c r="CO6" s="10">
        <v>53052</v>
      </c>
    </row>
    <row r="7" spans="1:93" s="12" customFormat="1" ht="11.25" x14ac:dyDescent="0.2">
      <c r="A7" s="9" t="s">
        <v>6</v>
      </c>
      <c r="B7" s="10">
        <v>4724.8523109999996</v>
      </c>
      <c r="C7" s="10">
        <v>4415.9359869999998</v>
      </c>
      <c r="D7" s="10">
        <v>4232.2029869999997</v>
      </c>
      <c r="E7" s="10">
        <v>4359.9316820000004</v>
      </c>
      <c r="F7" s="10">
        <v>4899.5229749999999</v>
      </c>
      <c r="G7" s="10">
        <v>4958.5731910000004</v>
      </c>
      <c r="H7" s="10">
        <v>5305.4506609999999</v>
      </c>
      <c r="I7" s="10">
        <v>5995.7329879999998</v>
      </c>
      <c r="J7" s="10">
        <v>6159.4109189999999</v>
      </c>
      <c r="K7" s="10">
        <v>5999.6790730000002</v>
      </c>
      <c r="L7" s="10">
        <v>6380.3395229999996</v>
      </c>
      <c r="M7" s="11">
        <v>6101.8057740000004</v>
      </c>
      <c r="N7" s="10">
        <v>6870.0771240000004</v>
      </c>
      <c r="O7" s="10">
        <v>6630.2016629999998</v>
      </c>
      <c r="P7" s="10">
        <v>5813.695839</v>
      </c>
      <c r="Q7" s="10">
        <v>5034.0455199999997</v>
      </c>
      <c r="R7" s="10">
        <v>5831.7079530000001</v>
      </c>
      <c r="S7" s="10">
        <v>6721.6240399999997</v>
      </c>
      <c r="T7" s="10">
        <v>7123.4578750000001</v>
      </c>
      <c r="U7" s="10">
        <v>7745.6913379999996</v>
      </c>
      <c r="V7" s="10">
        <v>7770.6759490000004</v>
      </c>
      <c r="W7" s="10">
        <v>7918.2636570000004</v>
      </c>
      <c r="X7" s="10">
        <v>8382.89552</v>
      </c>
      <c r="Y7" s="11">
        <v>8673.7371600000006</v>
      </c>
      <c r="Z7" s="10">
        <v>9862.7952760000007</v>
      </c>
      <c r="AA7" s="10">
        <v>9188.0826059999999</v>
      </c>
      <c r="AB7" s="10">
        <v>9588.1046330000008</v>
      </c>
      <c r="AC7" s="10">
        <v>10443.762764999999</v>
      </c>
      <c r="AD7" s="10">
        <v>11070.968722</v>
      </c>
      <c r="AE7" s="10">
        <v>11456.370022999999</v>
      </c>
      <c r="AF7" s="10">
        <v>12032.040588</v>
      </c>
      <c r="AG7" s="10">
        <v>12992.535123</v>
      </c>
      <c r="AH7" s="10">
        <v>13673.927179</v>
      </c>
      <c r="AI7" s="10">
        <v>13087.088163</v>
      </c>
      <c r="AJ7" s="10">
        <v>14586.35612</v>
      </c>
      <c r="AK7" s="11">
        <v>15062.062943999999</v>
      </c>
      <c r="AL7" s="10">
        <v>15933.815126</v>
      </c>
      <c r="AM7" s="10">
        <v>14648.500266999999</v>
      </c>
      <c r="AN7" s="10">
        <v>15465.712224999999</v>
      </c>
      <c r="AO7" s="10">
        <v>17349.164077000001</v>
      </c>
      <c r="AP7" s="10">
        <v>19012.679785</v>
      </c>
      <c r="AQ7" s="10">
        <v>20375.356045</v>
      </c>
      <c r="AR7" s="10">
        <v>22465.397638999999</v>
      </c>
      <c r="AS7" s="10">
        <v>22705.694329999998</v>
      </c>
      <c r="AT7" s="10">
        <v>24916.884335999999</v>
      </c>
      <c r="AU7" s="10">
        <v>25867.147729</v>
      </c>
      <c r="AV7" s="10">
        <v>26656.037854999999</v>
      </c>
      <c r="AW7" s="11">
        <v>27711.150078999999</v>
      </c>
      <c r="AX7" s="10">
        <v>30554.627982999998</v>
      </c>
      <c r="AY7" s="10">
        <v>27416.805271000001</v>
      </c>
      <c r="AZ7" s="10">
        <v>32041.734410000001</v>
      </c>
      <c r="BA7" s="10">
        <v>35279.341116000003</v>
      </c>
      <c r="BB7" s="10">
        <v>40880.085336999997</v>
      </c>
      <c r="BC7" s="10">
        <v>43250.238438</v>
      </c>
      <c r="BD7" s="10">
        <v>47061.637541999997</v>
      </c>
      <c r="BE7" s="10">
        <v>52469.548499999997</v>
      </c>
      <c r="BF7" s="10">
        <v>58901.421921000001</v>
      </c>
      <c r="BG7" s="10">
        <v>67460.217594000002</v>
      </c>
      <c r="BH7" s="10">
        <v>73545.701147</v>
      </c>
      <c r="BI7" s="11">
        <v>79962.166230000003</v>
      </c>
      <c r="BJ7" s="10">
        <v>107516.92148</v>
      </c>
      <c r="BK7" s="10">
        <v>119638.21646700001</v>
      </c>
      <c r="BL7" s="10">
        <v>128619.675581</v>
      </c>
      <c r="BM7" s="10">
        <v>136088.78972999999</v>
      </c>
      <c r="BN7" s="10">
        <v>144518.97345799999</v>
      </c>
      <c r="BO7" s="10">
        <v>152684.20911500001</v>
      </c>
      <c r="BP7" s="10">
        <v>148078.96358899999</v>
      </c>
      <c r="BQ7" s="10">
        <v>166672.60663699999</v>
      </c>
      <c r="BR7" s="10">
        <v>173256.40773400001</v>
      </c>
      <c r="BS7" s="10">
        <v>172976.216285</v>
      </c>
      <c r="BT7" s="10">
        <v>178425.56675500001</v>
      </c>
      <c r="BU7" s="11">
        <v>175804.94933800001</v>
      </c>
      <c r="BV7" s="10">
        <v>190808.17330600001</v>
      </c>
      <c r="BW7" s="10">
        <v>190422.94435599999</v>
      </c>
      <c r="BX7" s="10">
        <v>178063.53591999999</v>
      </c>
      <c r="BY7" s="10">
        <v>192924.05916800001</v>
      </c>
      <c r="BZ7" s="10">
        <v>213969.94256</v>
      </c>
      <c r="CA7" s="10">
        <v>222574.01091099999</v>
      </c>
      <c r="CB7" s="10">
        <v>238021.17470500001</v>
      </c>
      <c r="CC7" s="10">
        <v>249001.88707600001</v>
      </c>
      <c r="CD7" s="10">
        <v>235040.89456099999</v>
      </c>
      <c r="CE7" s="10">
        <v>241347.137644</v>
      </c>
      <c r="CF7" s="10">
        <v>240638.65602299999</v>
      </c>
      <c r="CG7" s="11">
        <v>272678.17761100002</v>
      </c>
      <c r="CH7" s="10">
        <v>277942.43593199999</v>
      </c>
      <c r="CI7" s="10">
        <v>242946.49812400001</v>
      </c>
      <c r="CJ7" s="10">
        <v>245101.44451398001</v>
      </c>
      <c r="CK7" s="10">
        <v>260877.63902500001</v>
      </c>
      <c r="CL7" s="10">
        <v>272287.85337800003</v>
      </c>
      <c r="CM7" s="10">
        <v>271632.28898399998</v>
      </c>
      <c r="CN7" s="10">
        <v>275249.34281300002</v>
      </c>
      <c r="CO7" s="10">
        <v>281578.51392900001</v>
      </c>
    </row>
    <row r="8" spans="1:93" s="12" customFormat="1" ht="11.25" x14ac:dyDescent="0.2">
      <c r="A8" s="9" t="s">
        <v>52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1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24</v>
      </c>
      <c r="V8" s="10" t="s">
        <v>24</v>
      </c>
      <c r="W8" s="10" t="s">
        <v>24</v>
      </c>
      <c r="X8" s="10" t="s">
        <v>24</v>
      </c>
      <c r="Y8" s="11" t="s">
        <v>24</v>
      </c>
      <c r="Z8" s="10" t="s">
        <v>24</v>
      </c>
      <c r="AA8" s="10" t="s">
        <v>24</v>
      </c>
      <c r="AB8" s="10" t="s">
        <v>24</v>
      </c>
      <c r="AC8" s="10" t="s">
        <v>24</v>
      </c>
      <c r="AD8" s="10" t="s">
        <v>24</v>
      </c>
      <c r="AE8" s="10" t="s">
        <v>24</v>
      </c>
      <c r="AF8" s="10" t="s">
        <v>24</v>
      </c>
      <c r="AG8" s="10" t="s">
        <v>24</v>
      </c>
      <c r="AH8" s="10" t="s">
        <v>24</v>
      </c>
      <c r="AI8" s="10" t="s">
        <v>24</v>
      </c>
      <c r="AJ8" s="10" t="s">
        <v>24</v>
      </c>
      <c r="AK8" s="11" t="s">
        <v>24</v>
      </c>
      <c r="AL8" s="10" t="s">
        <v>24</v>
      </c>
      <c r="AM8" s="10" t="s">
        <v>24</v>
      </c>
      <c r="AN8" s="10" t="s">
        <v>24</v>
      </c>
      <c r="AO8" s="10" t="s">
        <v>24</v>
      </c>
      <c r="AP8" s="10" t="s">
        <v>24</v>
      </c>
      <c r="AQ8" s="10" t="s">
        <v>24</v>
      </c>
      <c r="AR8" s="10" t="s">
        <v>24</v>
      </c>
      <c r="AS8" s="10" t="s">
        <v>24</v>
      </c>
      <c r="AT8" s="10" t="s">
        <v>24</v>
      </c>
      <c r="AU8" s="10" t="s">
        <v>24</v>
      </c>
      <c r="AV8" s="10" t="s">
        <v>24</v>
      </c>
      <c r="AW8" s="11" t="s">
        <v>24</v>
      </c>
      <c r="AX8" s="10" t="s">
        <v>24</v>
      </c>
      <c r="AY8" s="10" t="s">
        <v>24</v>
      </c>
      <c r="AZ8" s="10" t="s">
        <v>24</v>
      </c>
      <c r="BA8" s="10" t="s">
        <v>24</v>
      </c>
      <c r="BB8" s="10" t="s">
        <v>24</v>
      </c>
      <c r="BC8" s="10" t="s">
        <v>24</v>
      </c>
      <c r="BD8" s="10" t="s">
        <v>24</v>
      </c>
      <c r="BE8" s="10" t="s">
        <v>24</v>
      </c>
      <c r="BF8" s="10" t="s">
        <v>24</v>
      </c>
      <c r="BG8" s="10" t="s">
        <v>24</v>
      </c>
      <c r="BH8" s="10" t="s">
        <v>24</v>
      </c>
      <c r="BI8" s="11" t="s">
        <v>24</v>
      </c>
      <c r="BJ8" s="10">
        <v>12671.268193141001</v>
      </c>
      <c r="BK8" s="10">
        <v>13632.620154449998</v>
      </c>
      <c r="BL8" s="10">
        <v>13724.071058462998</v>
      </c>
      <c r="BM8" s="10">
        <v>15485.852111779999</v>
      </c>
      <c r="BN8" s="10">
        <v>17074.205366770002</v>
      </c>
      <c r="BO8" s="10">
        <v>17057.7</v>
      </c>
      <c r="BP8" s="10">
        <v>18252.773867079999</v>
      </c>
      <c r="BQ8" s="10">
        <v>21290.33</v>
      </c>
      <c r="BR8" s="10">
        <v>21139.724355693001</v>
      </c>
      <c r="BS8" s="10">
        <v>20759.830000000002</v>
      </c>
      <c r="BT8" s="10">
        <v>22268.39</v>
      </c>
      <c r="BU8" s="11">
        <v>22589.46</v>
      </c>
      <c r="BV8" s="10">
        <v>24615.52</v>
      </c>
      <c r="BW8" s="10">
        <v>24407</v>
      </c>
      <c r="BX8" s="10">
        <v>23487.05</v>
      </c>
      <c r="BY8" s="10">
        <v>24338.75</v>
      </c>
      <c r="BZ8" s="10">
        <v>26424.023217182999</v>
      </c>
      <c r="CA8" s="10">
        <v>25520.33</v>
      </c>
      <c r="CB8" s="10">
        <v>26235.9</v>
      </c>
      <c r="CC8" s="10">
        <v>28740.940730380004</v>
      </c>
      <c r="CD8" s="10">
        <v>28345.849037230004</v>
      </c>
      <c r="CE8" s="10">
        <v>27963.350345420004</v>
      </c>
      <c r="CF8" s="10">
        <v>27718.065527080002</v>
      </c>
      <c r="CG8" s="11">
        <v>28412.88813626</v>
      </c>
      <c r="CH8" s="10">
        <v>31388.155612849998</v>
      </c>
      <c r="CI8" s="10">
        <v>30211.81</v>
      </c>
      <c r="CJ8" s="10">
        <v>28772.437883100007</v>
      </c>
      <c r="CK8" s="10">
        <v>32059.956612019996</v>
      </c>
      <c r="CL8" s="10">
        <v>32161.157915990003</v>
      </c>
      <c r="CM8" s="10">
        <v>32702.151976039982</v>
      </c>
      <c r="CN8" s="10">
        <v>33839.743632949998</v>
      </c>
      <c r="CO8" s="10"/>
    </row>
    <row r="9" spans="1:93" s="12" customFormat="1" ht="11.25" x14ac:dyDescent="0.2">
      <c r="A9" s="9" t="s">
        <v>7</v>
      </c>
      <c r="B9" s="10">
        <v>1182.841406</v>
      </c>
      <c r="C9" s="10">
        <v>1088.594411</v>
      </c>
      <c r="D9" s="10">
        <v>1073.096965</v>
      </c>
      <c r="E9" s="10">
        <v>1359.462771</v>
      </c>
      <c r="F9" s="10">
        <v>1328.1870220000001</v>
      </c>
      <c r="G9" s="10">
        <v>1338.016856</v>
      </c>
      <c r="H9" s="10">
        <v>1299.1336369999999</v>
      </c>
      <c r="I9" s="10">
        <v>1390.966643</v>
      </c>
      <c r="J9" s="10">
        <v>1539.6338989999999</v>
      </c>
      <c r="K9" s="10">
        <v>1576.8085129999999</v>
      </c>
      <c r="L9" s="10">
        <v>1658.8024310000001</v>
      </c>
      <c r="M9" s="11">
        <v>1628.2032340000001</v>
      </c>
      <c r="N9" s="10">
        <v>1750.3162950000001</v>
      </c>
      <c r="O9" s="10">
        <v>1705.097233</v>
      </c>
      <c r="P9" s="10">
        <v>1447.9296469999999</v>
      </c>
      <c r="Q9" s="10">
        <v>1458.80034</v>
      </c>
      <c r="R9" s="10">
        <v>1616.293674</v>
      </c>
      <c r="S9" s="10">
        <v>1833.8897649999999</v>
      </c>
      <c r="T9" s="10">
        <v>1926.986484</v>
      </c>
      <c r="U9" s="10">
        <v>2105.8489319999999</v>
      </c>
      <c r="V9" s="10">
        <v>2043.386868</v>
      </c>
      <c r="W9" s="10">
        <v>2078.255858</v>
      </c>
      <c r="X9" s="10">
        <v>2258.0420709999999</v>
      </c>
      <c r="Y9" s="11">
        <v>2226.113914</v>
      </c>
      <c r="Z9" s="10">
        <v>2652.9075189999999</v>
      </c>
      <c r="AA9" s="10">
        <v>2611.1443490000001</v>
      </c>
      <c r="AB9" s="10">
        <v>2496.8153900000002</v>
      </c>
      <c r="AC9" s="10">
        <v>2932.09</v>
      </c>
      <c r="AD9" s="10">
        <v>2990.4346700000001</v>
      </c>
      <c r="AE9" s="10">
        <v>3124.3942910000001</v>
      </c>
      <c r="AF9" s="10">
        <v>3425.953399</v>
      </c>
      <c r="AG9" s="10">
        <v>3806.9973420000001</v>
      </c>
      <c r="AH9" s="10">
        <v>3780.1423009999999</v>
      </c>
      <c r="AI9" s="10">
        <v>3893.671124</v>
      </c>
      <c r="AJ9" s="10">
        <v>4060.3783969999999</v>
      </c>
      <c r="AK9" s="11">
        <v>4207.4135139999999</v>
      </c>
      <c r="AL9" s="10">
        <v>4635.6096889999999</v>
      </c>
      <c r="AM9" s="10">
        <v>3968.0218810000001</v>
      </c>
      <c r="AN9" s="10">
        <v>4096.6458030000003</v>
      </c>
      <c r="AO9" s="10">
        <v>4755.9931349999997</v>
      </c>
      <c r="AP9" s="10">
        <v>5004.3611840000003</v>
      </c>
      <c r="AQ9" s="10">
        <v>5348.0985300000002</v>
      </c>
      <c r="AR9" s="10">
        <v>6092.7137039999998</v>
      </c>
      <c r="AS9" s="10">
        <v>6334.6842390000002</v>
      </c>
      <c r="AT9" s="10">
        <v>6740.8352930000001</v>
      </c>
      <c r="AU9" s="10">
        <v>7131.4665489999998</v>
      </c>
      <c r="AV9" s="10">
        <v>7052.7154680000003</v>
      </c>
      <c r="AW9" s="11">
        <v>7909.2826789999999</v>
      </c>
      <c r="AX9" s="10">
        <v>8751.871056</v>
      </c>
      <c r="AY9" s="10">
        <v>7794.199955</v>
      </c>
      <c r="AZ9" s="10">
        <v>8449.2018740000003</v>
      </c>
      <c r="BA9" s="10">
        <v>9891.5383779999993</v>
      </c>
      <c r="BB9" s="10">
        <v>10802.385075</v>
      </c>
      <c r="BC9" s="10">
        <v>11295.344182999999</v>
      </c>
      <c r="BD9" s="10">
        <v>12635.208301999999</v>
      </c>
      <c r="BE9" s="10">
        <v>14383.857786</v>
      </c>
      <c r="BF9" s="10">
        <v>16381.228327999999</v>
      </c>
      <c r="BG9" s="10">
        <v>17708.812256000001</v>
      </c>
      <c r="BH9" s="10">
        <v>19351.115947999999</v>
      </c>
      <c r="BI9" s="11">
        <v>21764.249402000001</v>
      </c>
      <c r="BJ9" s="10">
        <v>28907.359407</v>
      </c>
      <c r="BK9" s="10">
        <v>29961.905271</v>
      </c>
      <c r="BL9" s="10">
        <v>32092.847011000002</v>
      </c>
      <c r="BM9" s="10">
        <v>34857.757668999999</v>
      </c>
      <c r="BN9" s="10">
        <v>36246.457288999998</v>
      </c>
      <c r="BO9" s="10">
        <v>38738.123210999998</v>
      </c>
      <c r="BP9" s="10">
        <v>41956.625540000001</v>
      </c>
      <c r="BQ9" s="10">
        <v>45053.048933999999</v>
      </c>
      <c r="BR9" s="10">
        <v>45813.634292000002</v>
      </c>
      <c r="BS9" s="10">
        <v>43303.916041999997</v>
      </c>
      <c r="BT9" s="10">
        <v>45549.235069000002</v>
      </c>
      <c r="BU9" s="11">
        <v>45901.488496999998</v>
      </c>
      <c r="BV9" s="10">
        <v>50715.334266999998</v>
      </c>
      <c r="BW9" s="10">
        <v>48686.261837999999</v>
      </c>
      <c r="BX9" s="10">
        <v>44861.791383000003</v>
      </c>
      <c r="BY9" s="10">
        <v>48699.626320000003</v>
      </c>
      <c r="BZ9" s="10">
        <v>54555.992534999998</v>
      </c>
      <c r="CA9" s="10">
        <v>55341.072224000003</v>
      </c>
      <c r="CB9" s="10">
        <v>57293.054950999998</v>
      </c>
      <c r="CC9" s="10">
        <v>59822.863052000001</v>
      </c>
      <c r="CD9" s="10">
        <v>62267.182632999997</v>
      </c>
      <c r="CE9" s="10">
        <v>65045.397754999998</v>
      </c>
      <c r="CF9" s="10">
        <v>61797.567007999998</v>
      </c>
      <c r="CG9" s="11">
        <v>65711.907204999996</v>
      </c>
      <c r="CH9" s="10">
        <v>71086.671954000005</v>
      </c>
      <c r="CI9" s="10">
        <v>64039.056285999999</v>
      </c>
      <c r="CJ9" s="10">
        <v>61780.307410000001</v>
      </c>
      <c r="CK9" s="10">
        <v>67785.222425</v>
      </c>
      <c r="CL9" s="10">
        <v>67360.573766000001</v>
      </c>
      <c r="CM9" s="10">
        <v>71000.459526999999</v>
      </c>
      <c r="CN9" s="10">
        <v>72164.557052999997</v>
      </c>
      <c r="CO9" s="10">
        <v>74265.589741000003</v>
      </c>
    </row>
    <row r="10" spans="1:93" s="12" customFormat="1" ht="11.25" x14ac:dyDescent="0.2">
      <c r="A10" s="9" t="s">
        <v>8</v>
      </c>
      <c r="B10" s="10">
        <v>226.08143637999999</v>
      </c>
      <c r="C10" s="10">
        <v>223.59782422999999</v>
      </c>
      <c r="D10" s="10">
        <v>219.53260309000001</v>
      </c>
      <c r="E10" s="10">
        <v>243.75641488999997</v>
      </c>
      <c r="F10" s="10">
        <v>236.48120715000002</v>
      </c>
      <c r="G10" s="10">
        <v>264.72604151000002</v>
      </c>
      <c r="H10" s="10">
        <v>257.53739225999999</v>
      </c>
      <c r="I10" s="10">
        <v>286.6106891</v>
      </c>
      <c r="J10" s="10">
        <v>292.10900006999998</v>
      </c>
      <c r="K10" s="10">
        <v>284.22719909</v>
      </c>
      <c r="L10" s="10">
        <v>315.73894576999999</v>
      </c>
      <c r="M10" s="11">
        <v>311.58749241999999</v>
      </c>
      <c r="N10" s="10">
        <v>320.14390717999999</v>
      </c>
      <c r="O10" s="10">
        <v>317.03712631999997</v>
      </c>
      <c r="P10" s="10">
        <v>302.68988144999997</v>
      </c>
      <c r="Q10" s="10">
        <v>268.99387698999999</v>
      </c>
      <c r="R10" s="10">
        <v>273.83737379000002</v>
      </c>
      <c r="S10" s="10">
        <v>310.18480161000002</v>
      </c>
      <c r="T10" s="10">
        <v>342.78029073000005</v>
      </c>
      <c r="U10" s="10">
        <v>377.1372002</v>
      </c>
      <c r="V10" s="10">
        <v>386.59236995999998</v>
      </c>
      <c r="W10" s="10">
        <v>412.16154766000005</v>
      </c>
      <c r="X10" s="10">
        <v>445.99291762000001</v>
      </c>
      <c r="Y10" s="11">
        <v>474.44584123999999</v>
      </c>
      <c r="Z10" s="10">
        <v>519.42801308999992</v>
      </c>
      <c r="AA10" s="10">
        <v>484.96915647000003</v>
      </c>
      <c r="AB10" s="10">
        <v>591.66242597999997</v>
      </c>
      <c r="AC10" s="10">
        <v>613.71</v>
      </c>
      <c r="AD10" s="10">
        <v>630.29768338999997</v>
      </c>
      <c r="AE10" s="10">
        <v>614.01070049999998</v>
      </c>
      <c r="AF10" s="10">
        <v>669.41392902999996</v>
      </c>
      <c r="AG10" s="10">
        <v>787.52790160999996</v>
      </c>
      <c r="AH10" s="10">
        <v>835.73335336000002</v>
      </c>
      <c r="AI10" s="10">
        <v>825.57667688000004</v>
      </c>
      <c r="AJ10" s="10">
        <v>905.03403097</v>
      </c>
      <c r="AK10" s="11">
        <v>904.57667408999998</v>
      </c>
      <c r="AL10" s="10">
        <v>1052.02909931</v>
      </c>
      <c r="AM10" s="10">
        <v>916.51192555</v>
      </c>
      <c r="AN10" s="10">
        <v>976.98066447000008</v>
      </c>
      <c r="AO10" s="10">
        <v>1182.7663770499998</v>
      </c>
      <c r="AP10" s="10">
        <v>1209.4410841400002</v>
      </c>
      <c r="AQ10" s="10">
        <v>1254.32015426</v>
      </c>
      <c r="AR10" s="10">
        <v>1500.49283707</v>
      </c>
      <c r="AS10" s="10">
        <v>1496.0535453599998</v>
      </c>
      <c r="AT10" s="10">
        <v>1701.6368010199999</v>
      </c>
      <c r="AU10" s="10">
        <v>1660.81916716</v>
      </c>
      <c r="AV10" s="10">
        <v>1783.5781381199999</v>
      </c>
      <c r="AW10" s="11">
        <v>1954.17034979</v>
      </c>
      <c r="AX10" s="10">
        <v>2121.13365277</v>
      </c>
      <c r="AY10" s="10">
        <v>1949.07925776</v>
      </c>
      <c r="AZ10" s="10">
        <v>2182.3796255399998</v>
      </c>
      <c r="BA10" s="10">
        <v>2390.9284980300004</v>
      </c>
      <c r="BB10" s="10">
        <v>2614.7555612300002</v>
      </c>
      <c r="BC10" s="10">
        <v>2833.2773422499999</v>
      </c>
      <c r="BD10" s="10">
        <v>3233.4495887100002</v>
      </c>
      <c r="BE10" s="10">
        <v>3601.64001164</v>
      </c>
      <c r="BF10" s="10">
        <v>3843.3340843299998</v>
      </c>
      <c r="BG10" s="10">
        <v>3955.7345322900001</v>
      </c>
      <c r="BH10" s="10">
        <v>4289.2723016600003</v>
      </c>
      <c r="BI10" s="11">
        <v>4725.25207563</v>
      </c>
      <c r="BJ10" s="10">
        <v>5363.5278778100001</v>
      </c>
      <c r="BK10" s="10">
        <v>4944.0414381499995</v>
      </c>
      <c r="BL10" s="10">
        <v>6180.8700806000006</v>
      </c>
      <c r="BM10" s="10">
        <v>6094.5292893599999</v>
      </c>
      <c r="BN10" s="10">
        <v>6930.1318164300001</v>
      </c>
      <c r="BO10" s="10">
        <v>8103.2006721799999</v>
      </c>
      <c r="BP10" s="10">
        <v>7683.7571634099995</v>
      </c>
      <c r="BQ10" s="10">
        <v>9601.1916560300015</v>
      </c>
      <c r="BR10" s="10">
        <v>9023.3666470999997</v>
      </c>
      <c r="BS10" s="10">
        <v>9022.4383080200005</v>
      </c>
      <c r="BT10" s="10">
        <v>9820.1075497700003</v>
      </c>
      <c r="BU10" s="11">
        <v>10240.03554678</v>
      </c>
      <c r="BV10" s="10">
        <v>10264.88118796</v>
      </c>
      <c r="BW10" s="10">
        <v>10987.34537635</v>
      </c>
      <c r="BX10" s="10">
        <v>10715.000903579999</v>
      </c>
      <c r="BY10" s="10">
        <v>11226.096371559999</v>
      </c>
      <c r="BZ10" s="10">
        <v>11608.63151589</v>
      </c>
      <c r="CA10" s="10">
        <v>11665.62581874</v>
      </c>
      <c r="CB10" s="10">
        <v>11919.612569819999</v>
      </c>
      <c r="CC10" s="10">
        <v>13078.190109339999</v>
      </c>
      <c r="CD10" s="10">
        <v>12538.424255</v>
      </c>
      <c r="CE10" s="10">
        <v>13349.29201655</v>
      </c>
      <c r="CF10" s="10">
        <v>12370.262576499999</v>
      </c>
      <c r="CG10" s="11">
        <v>13060.154998690001</v>
      </c>
      <c r="CH10" s="10">
        <v>13853.670831670001</v>
      </c>
      <c r="CI10" s="10">
        <v>13091.20440542</v>
      </c>
      <c r="CJ10" s="10">
        <v>12710.47287446</v>
      </c>
      <c r="CK10" s="10">
        <v>13819.89748209</v>
      </c>
      <c r="CL10" s="10">
        <v>16554.10737406</v>
      </c>
      <c r="CM10" s="10">
        <v>16142.334236889999</v>
      </c>
      <c r="CN10" s="10">
        <v>16466.410044659999</v>
      </c>
      <c r="CO10" s="10">
        <v>17367.111050150001</v>
      </c>
    </row>
    <row r="11" spans="1:93" s="12" customFormat="1" ht="11.25" x14ac:dyDescent="0.2">
      <c r="A11" s="9" t="s">
        <v>9</v>
      </c>
      <c r="B11" s="10">
        <v>438.01</v>
      </c>
      <c r="C11" s="10">
        <v>407.666</v>
      </c>
      <c r="D11" s="10">
        <v>389.46899999999999</v>
      </c>
      <c r="E11" s="10">
        <v>387.608</v>
      </c>
      <c r="F11" s="10">
        <v>401.33</v>
      </c>
      <c r="G11" s="10">
        <v>411.57299999999998</v>
      </c>
      <c r="H11" s="10">
        <v>398.07400000000001</v>
      </c>
      <c r="I11" s="10">
        <v>423.31900000000002</v>
      </c>
      <c r="J11" s="10">
        <v>480.4</v>
      </c>
      <c r="K11" s="10">
        <v>543.75400000000002</v>
      </c>
      <c r="L11" s="10">
        <v>526.702</v>
      </c>
      <c r="M11" s="11">
        <v>497.29300000000001</v>
      </c>
      <c r="N11" s="10">
        <v>541.60799999999995</v>
      </c>
      <c r="O11" s="10">
        <v>478.399</v>
      </c>
      <c r="P11" s="10">
        <v>476.10599999999999</v>
      </c>
      <c r="Q11" s="10">
        <v>397.19600000000003</v>
      </c>
      <c r="R11" s="10">
        <v>443.005</v>
      </c>
      <c r="S11" s="10">
        <v>488.58499999999998</v>
      </c>
      <c r="T11" s="10">
        <v>521.50300000000004</v>
      </c>
      <c r="U11" s="10">
        <v>552.23599999999999</v>
      </c>
      <c r="V11" s="10">
        <v>513.28200000000004</v>
      </c>
      <c r="W11" s="10">
        <v>604.01</v>
      </c>
      <c r="X11" s="10">
        <v>645.56899999999996</v>
      </c>
      <c r="Y11" s="11">
        <v>683.08438100000001</v>
      </c>
      <c r="Z11" s="10">
        <v>821.65499999999997</v>
      </c>
      <c r="AA11" s="10">
        <v>820.61699999999996</v>
      </c>
      <c r="AB11" s="10">
        <v>869.66632800000002</v>
      </c>
      <c r="AC11" s="10">
        <v>994.07</v>
      </c>
      <c r="AD11" s="10">
        <v>957.03733399999999</v>
      </c>
      <c r="AE11" s="10">
        <v>1063.187725</v>
      </c>
      <c r="AF11" s="10">
        <v>1131.8250129999999</v>
      </c>
      <c r="AG11" s="10">
        <v>1215.8946780000001</v>
      </c>
      <c r="AH11" s="10">
        <v>1257.943156</v>
      </c>
      <c r="AI11" s="10">
        <v>1332.0639269999999</v>
      </c>
      <c r="AJ11" s="10">
        <v>1408.158406</v>
      </c>
      <c r="AK11" s="11">
        <v>1422.761471</v>
      </c>
      <c r="AL11" s="10">
        <v>1624.866211</v>
      </c>
      <c r="AM11" s="10">
        <v>1457.088411</v>
      </c>
      <c r="AN11" s="10">
        <v>1498.391875</v>
      </c>
      <c r="AO11" s="10">
        <v>1666.748797</v>
      </c>
      <c r="AP11" s="10">
        <v>1837.6927989999999</v>
      </c>
      <c r="AQ11" s="10">
        <v>1827.1761919999999</v>
      </c>
      <c r="AR11" s="10">
        <v>2116.9751080000001</v>
      </c>
      <c r="AS11" s="10">
        <v>2284.1364410000001</v>
      </c>
      <c r="AT11" s="10">
        <v>2398.0888629999999</v>
      </c>
      <c r="AU11" s="10">
        <v>2488.378909</v>
      </c>
      <c r="AV11" s="10">
        <v>2656.2369530000001</v>
      </c>
      <c r="AW11" s="11">
        <v>2808.2302060000002</v>
      </c>
      <c r="AX11" s="10">
        <v>3189.7777299999998</v>
      </c>
      <c r="AY11" s="10">
        <v>3238.8700899999999</v>
      </c>
      <c r="AZ11" s="10">
        <v>3531.2120410000002</v>
      </c>
      <c r="BA11" s="10">
        <v>3794.1666</v>
      </c>
      <c r="BB11" s="10">
        <v>4018.1921040000002</v>
      </c>
      <c r="BC11" s="10">
        <v>4214.2651470000001</v>
      </c>
      <c r="BD11" s="10">
        <v>4905.6083189999999</v>
      </c>
      <c r="BE11" s="10">
        <v>5347.7118630000004</v>
      </c>
      <c r="BF11" s="10">
        <v>5955.6640219999999</v>
      </c>
      <c r="BG11" s="10">
        <v>6715.7319070000003</v>
      </c>
      <c r="BH11" s="10">
        <v>7500.1541459999999</v>
      </c>
      <c r="BI11" s="11">
        <v>8338.286607</v>
      </c>
      <c r="BJ11" s="10">
        <v>10405.129585999999</v>
      </c>
      <c r="BK11" s="10">
        <v>11120.939209</v>
      </c>
      <c r="BL11" s="10">
        <v>11177.265987000001</v>
      </c>
      <c r="BM11" s="10">
        <v>12479.586041</v>
      </c>
      <c r="BN11" s="10">
        <v>12683.045709</v>
      </c>
      <c r="BO11" s="10">
        <v>13340.631201</v>
      </c>
      <c r="BP11" s="10">
        <v>13735.538669</v>
      </c>
      <c r="BQ11" s="10">
        <v>15453.469696</v>
      </c>
      <c r="BR11" s="10">
        <v>16117.726841</v>
      </c>
      <c r="BS11" s="10">
        <v>16267.652466</v>
      </c>
      <c r="BT11" s="10">
        <v>17755.676183</v>
      </c>
      <c r="BU11" s="11">
        <v>17148.801851</v>
      </c>
      <c r="BV11" s="10">
        <v>18620.764863</v>
      </c>
      <c r="BW11" s="10">
        <v>19048.815895</v>
      </c>
      <c r="BX11" s="10">
        <v>17933.675921999999</v>
      </c>
      <c r="BY11" s="10">
        <v>18481.353449999999</v>
      </c>
      <c r="BZ11" s="10">
        <v>20357.350437000001</v>
      </c>
      <c r="CA11" s="10">
        <v>19949.354936</v>
      </c>
      <c r="CB11" s="10">
        <v>21171.656795999999</v>
      </c>
      <c r="CC11" s="10">
        <v>22537.394104999999</v>
      </c>
      <c r="CD11" s="10">
        <v>22109.307796000001</v>
      </c>
      <c r="CE11" s="10">
        <v>23794.702735999999</v>
      </c>
      <c r="CF11" s="10">
        <v>22434.459333999999</v>
      </c>
      <c r="CG11" s="11">
        <v>23710.099857000001</v>
      </c>
      <c r="CH11" s="10">
        <v>25337.645064</v>
      </c>
      <c r="CI11" s="10">
        <v>23522.391473</v>
      </c>
      <c r="CJ11" s="10">
        <v>23692.420305</v>
      </c>
      <c r="CK11" s="10">
        <v>24783.802606000001</v>
      </c>
      <c r="CL11" s="10">
        <v>26407.681451</v>
      </c>
      <c r="CM11" s="10">
        <v>26470.798853</v>
      </c>
      <c r="CN11" s="10">
        <v>27597.065148999998</v>
      </c>
      <c r="CO11" s="10">
        <v>27979.338176000001</v>
      </c>
    </row>
    <row r="12" spans="1:93" s="12" customFormat="1" ht="11.25" x14ac:dyDescent="0.2">
      <c r="A12" s="9" t="s">
        <v>27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1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  <c r="X12" s="10" t="s">
        <v>24</v>
      </c>
      <c r="Y12" s="11" t="s">
        <v>24</v>
      </c>
      <c r="Z12" s="10" t="s">
        <v>24</v>
      </c>
      <c r="AA12" s="10" t="s">
        <v>24</v>
      </c>
      <c r="AB12" s="10" t="s">
        <v>24</v>
      </c>
      <c r="AC12" s="10" t="s">
        <v>24</v>
      </c>
      <c r="AD12" s="10" t="s">
        <v>24</v>
      </c>
      <c r="AE12" s="10" t="s">
        <v>24</v>
      </c>
      <c r="AF12" s="10" t="s">
        <v>24</v>
      </c>
      <c r="AG12" s="10" t="s">
        <v>24</v>
      </c>
      <c r="AH12" s="10" t="s">
        <v>24</v>
      </c>
      <c r="AI12" s="10" t="s">
        <v>24</v>
      </c>
      <c r="AJ12" s="10" t="s">
        <v>24</v>
      </c>
      <c r="AK12" s="11" t="s">
        <v>24</v>
      </c>
      <c r="AL12" s="10" t="s">
        <v>24</v>
      </c>
      <c r="AM12" s="10" t="s">
        <v>24</v>
      </c>
      <c r="AN12" s="10" t="s">
        <v>24</v>
      </c>
      <c r="AO12" s="10" t="s">
        <v>24</v>
      </c>
      <c r="AP12" s="10" t="s">
        <v>24</v>
      </c>
      <c r="AQ12" s="10" t="s">
        <v>24</v>
      </c>
      <c r="AR12" s="10" t="s">
        <v>24</v>
      </c>
      <c r="AS12" s="10" t="s">
        <v>24</v>
      </c>
      <c r="AT12" s="10" t="s">
        <v>24</v>
      </c>
      <c r="AU12" s="10" t="s">
        <v>24</v>
      </c>
      <c r="AV12" s="10" t="s">
        <v>24</v>
      </c>
      <c r="AW12" s="11" t="s">
        <v>24</v>
      </c>
      <c r="AX12" s="10" t="s">
        <v>24</v>
      </c>
      <c r="AY12" s="10" t="s">
        <v>24</v>
      </c>
      <c r="AZ12" s="10" t="s">
        <v>24</v>
      </c>
      <c r="BA12" s="10" t="s">
        <v>24</v>
      </c>
      <c r="BB12" s="10" t="s">
        <v>24</v>
      </c>
      <c r="BC12" s="10" t="s">
        <v>24</v>
      </c>
      <c r="BD12" s="10" t="s">
        <v>24</v>
      </c>
      <c r="BE12" s="10" t="s">
        <v>24</v>
      </c>
      <c r="BF12" s="10" t="s">
        <v>24</v>
      </c>
      <c r="BG12" s="10" t="s">
        <v>24</v>
      </c>
      <c r="BH12" s="10" t="s">
        <v>24</v>
      </c>
      <c r="BI12" s="11" t="s">
        <v>24</v>
      </c>
      <c r="BJ12" s="10">
        <v>15340.83572911</v>
      </c>
      <c r="BK12" s="10">
        <v>15844.87683098</v>
      </c>
      <c r="BL12" s="10">
        <v>15690.13484085</v>
      </c>
      <c r="BM12" s="10">
        <v>17155.697677489999</v>
      </c>
      <c r="BN12" s="10">
        <v>17099.708262740001</v>
      </c>
      <c r="BO12" s="10">
        <v>19267.941670669999</v>
      </c>
      <c r="BP12" s="10">
        <v>20998.208516229999</v>
      </c>
      <c r="BQ12" s="10">
        <v>22191.683038250001</v>
      </c>
      <c r="BR12" s="10">
        <v>22414.705511249998</v>
      </c>
      <c r="BS12" s="10">
        <v>23468.92533315</v>
      </c>
      <c r="BT12" s="10">
        <v>23839.059229779999</v>
      </c>
      <c r="BU12" s="11">
        <v>25187.906587970007</v>
      </c>
      <c r="BV12" s="10">
        <v>26345.25955033</v>
      </c>
      <c r="BW12" s="10">
        <v>23981.62472349</v>
      </c>
      <c r="BX12" s="10">
        <v>23087.402194089998</v>
      </c>
      <c r="BY12" s="10">
        <v>22587.138921199999</v>
      </c>
      <c r="BZ12" s="10">
        <v>25031.749897469999</v>
      </c>
      <c r="CA12" s="10">
        <v>29255.265028900001</v>
      </c>
      <c r="CB12" s="10">
        <v>28885.15174791</v>
      </c>
      <c r="CC12" s="10">
        <v>32585.537837970001</v>
      </c>
      <c r="CD12" s="10">
        <v>32271.15468136</v>
      </c>
      <c r="CE12" s="10">
        <v>32146.063157929999</v>
      </c>
      <c r="CF12" s="10">
        <v>30298.76221497</v>
      </c>
      <c r="CG12" s="11">
        <v>38333.90102107</v>
      </c>
      <c r="CH12" s="10">
        <v>35892.892710749999</v>
      </c>
      <c r="CI12" s="10">
        <v>25307.500375299998</v>
      </c>
      <c r="CJ12" s="10">
        <v>34479.59942785</v>
      </c>
      <c r="CK12" s="10">
        <v>29660.02766195</v>
      </c>
      <c r="CL12" s="10">
        <v>32620.482718110001</v>
      </c>
      <c r="CM12" s="10">
        <v>41994.210468630001</v>
      </c>
      <c r="CN12" s="10">
        <v>39666.186751820002</v>
      </c>
      <c r="CO12" s="10"/>
    </row>
    <row r="13" spans="1:93" s="12" customFormat="1" ht="11.25" x14ac:dyDescent="0.2">
      <c r="A13" s="9" t="s">
        <v>10</v>
      </c>
      <c r="B13" s="10">
        <v>183.99323574000002</v>
      </c>
      <c r="C13" s="10">
        <v>157.39695466999999</v>
      </c>
      <c r="D13" s="10">
        <v>155.07090124999999</v>
      </c>
      <c r="E13" s="10">
        <v>178.15245998</v>
      </c>
      <c r="F13" s="10">
        <v>168.31328088000001</v>
      </c>
      <c r="G13" s="10">
        <v>179.16749999000001</v>
      </c>
      <c r="H13" s="10">
        <v>184.73372988</v>
      </c>
      <c r="I13" s="10">
        <v>213.47305119999999</v>
      </c>
      <c r="J13" s="10">
        <v>233.09276241000001</v>
      </c>
      <c r="K13" s="10">
        <v>207.48092593999999</v>
      </c>
      <c r="L13" s="10">
        <v>239.64229352999999</v>
      </c>
      <c r="M13" s="11">
        <v>223.00722868999947</v>
      </c>
      <c r="N13" s="10">
        <v>255.28218457</v>
      </c>
      <c r="O13" s="10">
        <v>211.63253584</v>
      </c>
      <c r="P13" s="10">
        <v>198.98634034</v>
      </c>
      <c r="Q13" s="10">
        <v>185.80531431999998</v>
      </c>
      <c r="R13" s="10">
        <v>197.16821324</v>
      </c>
      <c r="S13" s="10">
        <v>204.66527428999999</v>
      </c>
      <c r="T13" s="10">
        <v>233.32262618000001</v>
      </c>
      <c r="U13" s="10">
        <v>237.16120791</v>
      </c>
      <c r="V13" s="10">
        <v>238.96467724999999</v>
      </c>
      <c r="W13" s="10">
        <v>281.37853137999997</v>
      </c>
      <c r="X13" s="10">
        <v>303.48400380000004</v>
      </c>
      <c r="Y13" s="11">
        <v>316.06695317000003</v>
      </c>
      <c r="Z13" s="10">
        <v>419.90606527</v>
      </c>
      <c r="AA13" s="10">
        <v>402.42024987999997</v>
      </c>
      <c r="AB13" s="10">
        <v>424.23782711000001</v>
      </c>
      <c r="AC13" s="10">
        <v>490.32</v>
      </c>
      <c r="AD13" s="10">
        <v>426.43465992</v>
      </c>
      <c r="AE13" s="10">
        <v>481.06801876999998</v>
      </c>
      <c r="AF13" s="10">
        <v>492.14744245999998</v>
      </c>
      <c r="AG13" s="10">
        <v>517.23700744999996</v>
      </c>
      <c r="AH13" s="10">
        <v>551.11384300999998</v>
      </c>
      <c r="AI13" s="10">
        <v>573.60488487999999</v>
      </c>
      <c r="AJ13" s="10">
        <v>610.74203060000002</v>
      </c>
      <c r="AK13" s="11">
        <v>706.79566871000009</v>
      </c>
      <c r="AL13" s="10">
        <v>737.42455773000006</v>
      </c>
      <c r="AM13" s="10">
        <v>596.34806065999999</v>
      </c>
      <c r="AN13" s="10">
        <v>669.05267679999997</v>
      </c>
      <c r="AO13" s="10">
        <v>732.93393830999992</v>
      </c>
      <c r="AP13" s="10">
        <v>794.86297736000006</v>
      </c>
      <c r="AQ13" s="10">
        <v>867.86302549000004</v>
      </c>
      <c r="AR13" s="10">
        <v>965.08541852999997</v>
      </c>
      <c r="AS13" s="10">
        <v>1051.9722459299999</v>
      </c>
      <c r="AT13" s="10">
        <v>1127.813202</v>
      </c>
      <c r="AU13" s="10">
        <v>1193.9681023000001</v>
      </c>
      <c r="AV13" s="10">
        <v>1346.7949867100001</v>
      </c>
      <c r="AW13" s="11">
        <v>1504.8364957700001</v>
      </c>
      <c r="AX13" s="10">
        <v>1393.1568915599998</v>
      </c>
      <c r="AY13" s="10">
        <v>1180.3583135899999</v>
      </c>
      <c r="AZ13" s="10">
        <v>1491.2777964100001</v>
      </c>
      <c r="BA13" s="10">
        <v>1657.0315013499999</v>
      </c>
      <c r="BB13" s="10">
        <v>1888.70829742</v>
      </c>
      <c r="BC13" s="10">
        <v>1998.9471388499999</v>
      </c>
      <c r="BD13" s="10">
        <v>2279.72496301</v>
      </c>
      <c r="BE13" s="10">
        <v>2443.7847718899998</v>
      </c>
      <c r="BF13" s="10">
        <v>2659.8982974699998</v>
      </c>
      <c r="BG13" s="10">
        <v>2861.3370224499999</v>
      </c>
      <c r="BH13" s="10">
        <v>3255.31972778</v>
      </c>
      <c r="BI13" s="11">
        <v>3669.8561854499999</v>
      </c>
      <c r="BJ13" s="10">
        <v>4476.1755874199998</v>
      </c>
      <c r="BK13" s="10">
        <v>4950.0273378000002</v>
      </c>
      <c r="BL13" s="10">
        <v>4877.9323786499999</v>
      </c>
      <c r="BM13" s="10">
        <v>5959.8377577900001</v>
      </c>
      <c r="BN13" s="10">
        <v>5991.1508269399992</v>
      </c>
      <c r="BO13" s="10">
        <v>6432.2502170100006</v>
      </c>
      <c r="BP13" s="10">
        <v>7370.6925617099996</v>
      </c>
      <c r="BQ13" s="10">
        <v>7856.0561002299992</v>
      </c>
      <c r="BR13" s="10">
        <v>7792.2182210000001</v>
      </c>
      <c r="BS13" s="10">
        <v>8701.9304794799991</v>
      </c>
      <c r="BT13" s="10">
        <v>10112.7032681</v>
      </c>
      <c r="BU13" s="11">
        <v>8901.7006779399999</v>
      </c>
      <c r="BV13" s="10">
        <v>11304.257542679999</v>
      </c>
      <c r="BW13" s="10">
        <v>8600.5973356499999</v>
      </c>
      <c r="BX13" s="10">
        <v>9115.0688262500007</v>
      </c>
      <c r="BY13" s="10">
        <v>9759.3356575499984</v>
      </c>
      <c r="BZ13" s="10">
        <v>9549.2382892500009</v>
      </c>
      <c r="CA13" s="10">
        <v>10325.337127569999</v>
      </c>
      <c r="CB13" s="10">
        <v>10961.803478100001</v>
      </c>
      <c r="CC13" s="10">
        <v>11502.076845879999</v>
      </c>
      <c r="CD13" s="10">
        <v>11769.241605809999</v>
      </c>
      <c r="CE13" s="10">
        <v>10888.69300866</v>
      </c>
      <c r="CF13" s="10">
        <v>10848.574544749999</v>
      </c>
      <c r="CG13" s="11">
        <v>10925.138708280001</v>
      </c>
      <c r="CH13" s="10">
        <v>11905.85784717</v>
      </c>
      <c r="CI13" s="10">
        <v>10431.229311620002</v>
      </c>
      <c r="CJ13" s="10">
        <v>10141.297310030001</v>
      </c>
      <c r="CK13" s="10">
        <v>12154.9953214</v>
      </c>
      <c r="CL13" s="10">
        <v>11506.15128883</v>
      </c>
      <c r="CM13" s="10">
        <v>12236.695804139999</v>
      </c>
      <c r="CN13" s="10">
        <v>12720.15115625</v>
      </c>
      <c r="CO13" s="10">
        <v>11573.441946629999</v>
      </c>
    </row>
    <row r="14" spans="1:93" s="12" customFormat="1" ht="11.25" x14ac:dyDescent="0.2">
      <c r="A14" s="9" t="s">
        <v>11</v>
      </c>
      <c r="B14" s="10">
        <v>2195.5297300000002</v>
      </c>
      <c r="C14" s="10">
        <v>2103.3637319999998</v>
      </c>
      <c r="D14" s="10">
        <v>2143.7913349999999</v>
      </c>
      <c r="E14" s="10">
        <v>2277.286791</v>
      </c>
      <c r="F14" s="10">
        <v>2456.053054</v>
      </c>
      <c r="G14" s="10">
        <v>2334.0659679999999</v>
      </c>
      <c r="H14" s="10">
        <v>2419.755126</v>
      </c>
      <c r="I14" s="10">
        <v>2761.1718099999998</v>
      </c>
      <c r="J14" s="10">
        <v>2874.2497079999998</v>
      </c>
      <c r="K14" s="10">
        <v>2863.7177670000001</v>
      </c>
      <c r="L14" s="10">
        <v>2963.8174819999999</v>
      </c>
      <c r="M14" s="11">
        <v>2857.067481</v>
      </c>
      <c r="N14" s="10">
        <v>3068.4769369999999</v>
      </c>
      <c r="O14" s="10">
        <v>3246.5831410000001</v>
      </c>
      <c r="P14" s="10">
        <v>2869.9348070000001</v>
      </c>
      <c r="Q14" s="10">
        <v>2711.722096</v>
      </c>
      <c r="R14" s="10">
        <v>2558.7962400000001</v>
      </c>
      <c r="S14" s="10">
        <v>2601.4993589999999</v>
      </c>
      <c r="T14" s="10">
        <v>2800.037597</v>
      </c>
      <c r="U14" s="10">
        <v>3271.9008050000002</v>
      </c>
      <c r="V14" s="10">
        <v>3102.3453129999998</v>
      </c>
      <c r="W14" s="10">
        <v>3254.2088429999999</v>
      </c>
      <c r="X14" s="10">
        <v>3590.3817049999998</v>
      </c>
      <c r="Y14" s="11">
        <v>3619.1406400000001</v>
      </c>
      <c r="Z14" s="10">
        <v>4210.333243</v>
      </c>
      <c r="AA14" s="10">
        <v>4035.9201280000002</v>
      </c>
      <c r="AB14" s="10">
        <v>3969.1979219999998</v>
      </c>
      <c r="AC14" s="10">
        <v>4446.8</v>
      </c>
      <c r="AD14" s="10">
        <v>4285.918498</v>
      </c>
      <c r="AE14" s="10">
        <v>4477.2594730000001</v>
      </c>
      <c r="AF14" s="10">
        <v>4653.1124140000002</v>
      </c>
      <c r="AG14" s="10">
        <v>4977.7821519999998</v>
      </c>
      <c r="AH14" s="10">
        <v>5349.0906720000003</v>
      </c>
      <c r="AI14" s="10">
        <v>5368.8961639999998</v>
      </c>
      <c r="AJ14" s="10">
        <v>5800.0186640000002</v>
      </c>
      <c r="AK14" s="11">
        <v>6548.1780689999996</v>
      </c>
      <c r="AL14" s="10">
        <v>6815.2756410000002</v>
      </c>
      <c r="AM14" s="10">
        <v>6525.0879150000001</v>
      </c>
      <c r="AN14" s="10">
        <v>6633.6134149999998</v>
      </c>
      <c r="AO14" s="10">
        <v>7882.9435604999999</v>
      </c>
      <c r="AP14" s="10">
        <v>8485.1486939999995</v>
      </c>
      <c r="AQ14" s="10">
        <v>8272.2308580000008</v>
      </c>
      <c r="AR14" s="10">
        <v>9777.1449429999993</v>
      </c>
      <c r="AS14" s="10">
        <v>10673.847335</v>
      </c>
      <c r="AT14" s="10">
        <v>10903.034059</v>
      </c>
      <c r="AU14" s="10">
        <v>11468.663772</v>
      </c>
      <c r="AV14" s="10">
        <v>12420.675590000001</v>
      </c>
      <c r="AW14" s="11">
        <v>12973.069982999999</v>
      </c>
      <c r="AX14" s="10">
        <v>14525.56071</v>
      </c>
      <c r="AY14" s="10">
        <v>14960.067498</v>
      </c>
      <c r="AZ14" s="10">
        <v>15059.684558000001</v>
      </c>
      <c r="BA14" s="10">
        <v>17487.400044000002</v>
      </c>
      <c r="BB14" s="10">
        <v>18906.730844000002</v>
      </c>
      <c r="BC14" s="10">
        <v>20011.320650000001</v>
      </c>
      <c r="BD14" s="10">
        <v>22575.360462000001</v>
      </c>
      <c r="BE14" s="10">
        <v>24771.434365000001</v>
      </c>
      <c r="BF14" s="10">
        <v>28058.793576</v>
      </c>
      <c r="BG14" s="10">
        <v>33556.861396</v>
      </c>
      <c r="BH14" s="10">
        <v>35453.717484000001</v>
      </c>
      <c r="BI14" s="11">
        <v>36875.546851999999</v>
      </c>
      <c r="BJ14" s="10">
        <v>47346.036893999997</v>
      </c>
      <c r="BK14" s="10">
        <v>52411.425611999999</v>
      </c>
      <c r="BL14" s="10">
        <v>56751.086612999999</v>
      </c>
      <c r="BM14" s="10">
        <v>60502.130947999998</v>
      </c>
      <c r="BN14" s="10">
        <v>64921.410660000001</v>
      </c>
      <c r="BO14" s="10">
        <v>66006.863236000005</v>
      </c>
      <c r="BP14" s="10">
        <v>66390.437802</v>
      </c>
      <c r="BQ14" s="10">
        <v>72004.543120999995</v>
      </c>
      <c r="BR14" s="10">
        <v>74241.056979000001</v>
      </c>
      <c r="BS14" s="10">
        <v>79689.758014999999</v>
      </c>
      <c r="BT14" s="10">
        <v>79511.977912000002</v>
      </c>
      <c r="BU14" s="11">
        <v>79191.108246999996</v>
      </c>
      <c r="BV14" s="10">
        <v>83128.051028000002</v>
      </c>
      <c r="BW14" s="10">
        <v>79687.228426000001</v>
      </c>
      <c r="BX14" s="10">
        <v>77140.913576999999</v>
      </c>
      <c r="BY14" s="10">
        <v>81188.031657</v>
      </c>
      <c r="BZ14" s="10">
        <v>90317.923895</v>
      </c>
      <c r="CA14" s="10">
        <v>90551.713476000004</v>
      </c>
      <c r="CB14" s="10">
        <v>93159.788925000001</v>
      </c>
      <c r="CC14" s="10">
        <v>100530.797467</v>
      </c>
      <c r="CD14" s="10">
        <v>99069.175831999994</v>
      </c>
      <c r="CE14" s="10">
        <v>103667.38226699999</v>
      </c>
      <c r="CF14" s="10">
        <v>106688.390075</v>
      </c>
      <c r="CG14" s="11">
        <v>102452.583799</v>
      </c>
      <c r="CH14" s="10">
        <v>117078.451628</v>
      </c>
      <c r="CI14" s="10">
        <v>107684.30237400001</v>
      </c>
      <c r="CJ14" s="10">
        <v>102299.489784</v>
      </c>
      <c r="CK14" s="10">
        <v>110785.143496</v>
      </c>
      <c r="CL14" s="10">
        <v>117822.892378</v>
      </c>
      <c r="CM14" s="10">
        <v>116053.38275</v>
      </c>
      <c r="CN14" s="10">
        <v>117457.97822800001</v>
      </c>
      <c r="CO14" s="10">
        <v>121430.414962</v>
      </c>
    </row>
    <row r="15" spans="1:93" s="12" customFormat="1" ht="11.25" x14ac:dyDescent="0.2">
      <c r="A15" s="9" t="s">
        <v>12</v>
      </c>
      <c r="B15" s="10">
        <v>1360.4641389999999</v>
      </c>
      <c r="C15" s="10">
        <v>1350.732068</v>
      </c>
      <c r="D15" s="10">
        <v>1261.4515429999999</v>
      </c>
      <c r="E15" s="10">
        <v>1286.9366769999999</v>
      </c>
      <c r="F15" s="10">
        <v>1395.6398979999999</v>
      </c>
      <c r="G15" s="10">
        <v>1415.117352</v>
      </c>
      <c r="H15" s="10">
        <v>1337.3324700000001</v>
      </c>
      <c r="I15" s="10">
        <v>1488.1701619999999</v>
      </c>
      <c r="J15" s="10">
        <v>1507.5101239999999</v>
      </c>
      <c r="K15" s="10">
        <v>1608.968376</v>
      </c>
      <c r="L15" s="10">
        <v>1719.4825249999999</v>
      </c>
      <c r="M15" s="11">
        <v>1640.6016810000001</v>
      </c>
      <c r="N15" s="10">
        <v>1781.83809808</v>
      </c>
      <c r="O15" s="10">
        <v>1906.89510247</v>
      </c>
      <c r="P15" s="10">
        <v>1798.07250845</v>
      </c>
      <c r="Q15" s="10">
        <v>1851.75747185</v>
      </c>
      <c r="R15" s="10">
        <v>2312.8665769600002</v>
      </c>
      <c r="S15" s="10">
        <v>2544.6228742199996</v>
      </c>
      <c r="T15" s="10">
        <v>2950.5501322800001</v>
      </c>
      <c r="U15" s="10">
        <v>3246.78657995</v>
      </c>
      <c r="V15" s="10">
        <v>3072.1934948200001</v>
      </c>
      <c r="W15" s="10">
        <v>2969.7702938100001</v>
      </c>
      <c r="X15" s="10">
        <v>3461.3492739099997</v>
      </c>
      <c r="Y15" s="11">
        <v>3568.4915224899996</v>
      </c>
      <c r="Z15" s="10">
        <v>3904.17246032</v>
      </c>
      <c r="AA15" s="10">
        <v>3691.2344276500003</v>
      </c>
      <c r="AB15" s="10">
        <v>3943.4764539799999</v>
      </c>
      <c r="AC15" s="10">
        <v>4638.6899999999996</v>
      </c>
      <c r="AD15" s="10">
        <v>4807.6848263900001</v>
      </c>
      <c r="AE15" s="10">
        <v>4793.6770676400001</v>
      </c>
      <c r="AF15" s="10">
        <v>4864.3209346099993</v>
      </c>
      <c r="AG15" s="10">
        <v>5287.8242322200003</v>
      </c>
      <c r="AH15" s="10">
        <v>5834.3868239100002</v>
      </c>
      <c r="AI15" s="10">
        <v>5854.0503840600004</v>
      </c>
      <c r="AJ15" s="10">
        <v>6088.5816572499998</v>
      </c>
      <c r="AK15" s="11">
        <v>6570.4161063599995</v>
      </c>
      <c r="AL15" s="10">
        <v>6509.5227483400004</v>
      </c>
      <c r="AM15" s="10">
        <v>6203.7649265099999</v>
      </c>
      <c r="AN15" s="10">
        <v>6580.22584766</v>
      </c>
      <c r="AO15" s="10">
        <v>7463.3177802099999</v>
      </c>
      <c r="AP15" s="10">
        <v>8438.0228296000005</v>
      </c>
      <c r="AQ15" s="10">
        <v>9132.3274697500001</v>
      </c>
      <c r="AR15" s="10">
        <v>9654.1466540300007</v>
      </c>
      <c r="AS15" s="10">
        <v>11276.680390879999</v>
      </c>
      <c r="AT15" s="10">
        <v>11404.8054787</v>
      </c>
      <c r="AU15" s="10">
        <v>11605.37394093</v>
      </c>
      <c r="AV15" s="10">
        <v>12236.120802719999</v>
      </c>
      <c r="AW15" s="11">
        <v>12708.74906459</v>
      </c>
      <c r="AX15" s="10">
        <v>13437.2</v>
      </c>
      <c r="AY15" s="10">
        <v>13856.8</v>
      </c>
      <c r="AZ15" s="10">
        <v>14376.5</v>
      </c>
      <c r="BA15" s="10">
        <v>15036</v>
      </c>
      <c r="BB15" s="10">
        <v>15992.4</v>
      </c>
      <c r="BC15" s="10">
        <v>17582.900000000001</v>
      </c>
      <c r="BD15" s="10">
        <v>19410.900000000001</v>
      </c>
      <c r="BE15" s="10">
        <v>22835.5</v>
      </c>
      <c r="BF15" s="10">
        <v>24779.9</v>
      </c>
      <c r="BG15" s="10">
        <v>25023.7</v>
      </c>
      <c r="BH15" s="10">
        <v>31739.599999999999</v>
      </c>
      <c r="BI15" s="11">
        <v>37409.4</v>
      </c>
      <c r="BJ15" s="10">
        <v>42652.915203379998</v>
      </c>
      <c r="BK15" s="10">
        <v>44472.162601980002</v>
      </c>
      <c r="BL15" s="10">
        <v>49423.446699929998</v>
      </c>
      <c r="BM15" s="10">
        <v>55529.099866739998</v>
      </c>
      <c r="BN15" s="10">
        <v>59435.026465529998</v>
      </c>
      <c r="BO15" s="10">
        <v>59471.507767410003</v>
      </c>
      <c r="BP15" s="10">
        <v>61917.174812470003</v>
      </c>
      <c r="BQ15" s="10">
        <v>70554.079919590004</v>
      </c>
      <c r="BR15" s="10">
        <v>71018.629098220001</v>
      </c>
      <c r="BS15" s="10">
        <v>71857.707871919993</v>
      </c>
      <c r="BT15" s="10">
        <v>73419.324668560002</v>
      </c>
      <c r="BU15" s="11">
        <v>75744.20093430001</v>
      </c>
      <c r="BV15" s="10">
        <v>85174.032692840003</v>
      </c>
      <c r="BW15" s="10">
        <v>75608.574585490001</v>
      </c>
      <c r="BX15" s="10">
        <v>68283.797905429994</v>
      </c>
      <c r="BY15" s="10">
        <v>73543.678950999994</v>
      </c>
      <c r="BZ15" s="10">
        <v>80670.753984059993</v>
      </c>
      <c r="CA15" s="10">
        <v>79488.834002770003</v>
      </c>
      <c r="CB15" s="10">
        <v>76436.658105969997</v>
      </c>
      <c r="CC15" s="10">
        <v>79561.905492360005</v>
      </c>
      <c r="CD15" s="10">
        <v>75113.728197259989</v>
      </c>
      <c r="CE15" s="10">
        <v>81640.4356616</v>
      </c>
      <c r="CF15" s="10">
        <v>82641.172338250006</v>
      </c>
      <c r="CG15" s="11">
        <v>81062.518205429995</v>
      </c>
      <c r="CH15" s="10">
        <v>84541.87094949001</v>
      </c>
      <c r="CI15" s="10">
        <v>77385.175415710008</v>
      </c>
      <c r="CJ15" s="10">
        <v>74671.141779649988</v>
      </c>
      <c r="CK15" s="10">
        <v>86671.876499050006</v>
      </c>
      <c r="CL15" s="10">
        <v>82187.030331670001</v>
      </c>
      <c r="CM15" s="10">
        <v>81085.175830630003</v>
      </c>
      <c r="CN15" s="10">
        <v>86230.193046159999</v>
      </c>
      <c r="CO15" s="10">
        <v>83619.694561429991</v>
      </c>
    </row>
    <row r="16" spans="1:93" s="12" customFormat="1" ht="11.25" x14ac:dyDescent="0.2">
      <c r="A16" s="9" t="s">
        <v>13</v>
      </c>
      <c r="B16" s="10">
        <v>2355.3094712399998</v>
      </c>
      <c r="C16" s="10">
        <v>1955.62636632</v>
      </c>
      <c r="D16" s="10">
        <v>2127.3434420399999</v>
      </c>
      <c r="E16" s="10">
        <v>2226.1510720900001</v>
      </c>
      <c r="F16" s="10">
        <v>3038.4125104299997</v>
      </c>
      <c r="G16" s="10">
        <v>2587.6460393299999</v>
      </c>
      <c r="H16" s="10">
        <v>2835.1599158399999</v>
      </c>
      <c r="I16" s="10">
        <v>3042.8540272199998</v>
      </c>
      <c r="J16" s="10">
        <v>2952.68165735</v>
      </c>
      <c r="K16" s="10">
        <v>3347.0678110900003</v>
      </c>
      <c r="L16" s="10">
        <v>3356.6334558499998</v>
      </c>
      <c r="M16" s="11">
        <v>3232.46849969</v>
      </c>
      <c r="N16" s="10">
        <v>3160.4461063899998</v>
      </c>
      <c r="O16" s="10">
        <v>3404.4112907700001</v>
      </c>
      <c r="P16" s="10">
        <v>3016.32838042</v>
      </c>
      <c r="Q16" s="10">
        <v>2720.2710791199997</v>
      </c>
      <c r="R16" s="10">
        <v>2134.8913569900001</v>
      </c>
      <c r="S16" s="10">
        <v>1857.9296997899999</v>
      </c>
      <c r="T16" s="10">
        <v>2738.0636144</v>
      </c>
      <c r="U16" s="10">
        <v>2878.78489713</v>
      </c>
      <c r="V16" s="10">
        <v>2755.6797949800002</v>
      </c>
      <c r="W16" s="10">
        <v>2978.7523573400003</v>
      </c>
      <c r="X16" s="10">
        <v>3363.4745760800001</v>
      </c>
      <c r="Y16" s="11">
        <v>3426.5647836500002</v>
      </c>
      <c r="Z16" s="10">
        <v>4271.77234563</v>
      </c>
      <c r="AA16" s="10">
        <v>4113.2137252900002</v>
      </c>
      <c r="AB16" s="10">
        <v>4468.1009431099992</v>
      </c>
      <c r="AC16" s="10">
        <v>4705.31050065</v>
      </c>
      <c r="AD16" s="10">
        <v>4421.8884356899998</v>
      </c>
      <c r="AE16" s="10">
        <v>4922.14239808</v>
      </c>
      <c r="AF16" s="10">
        <v>5373.5531915399997</v>
      </c>
      <c r="AG16" s="10">
        <v>5762.6496251400004</v>
      </c>
      <c r="AH16" s="10">
        <v>6127.6420841099998</v>
      </c>
      <c r="AI16" s="10">
        <v>5759.97018579</v>
      </c>
      <c r="AJ16" s="10">
        <v>5900.12945941</v>
      </c>
      <c r="AK16" s="11">
        <v>6442.8567460000004</v>
      </c>
      <c r="AL16" s="10">
        <v>6599.9378344699999</v>
      </c>
      <c r="AM16" s="10">
        <v>6182.1576066000007</v>
      </c>
      <c r="AN16" s="10">
        <v>6404.0866052800002</v>
      </c>
      <c r="AO16" s="10">
        <v>7544.4281652</v>
      </c>
      <c r="AP16" s="10">
        <v>8485.16208405</v>
      </c>
      <c r="AQ16" s="10">
        <v>8504.1223260000006</v>
      </c>
      <c r="AR16" s="10">
        <v>10197.63704369</v>
      </c>
      <c r="AS16" s="10">
        <v>11158.72432101</v>
      </c>
      <c r="AT16" s="10">
        <v>11473.28575961</v>
      </c>
      <c r="AU16" s="10">
        <v>11842.876595350001</v>
      </c>
      <c r="AV16" s="10">
        <v>12539.0832245</v>
      </c>
      <c r="AW16" s="11">
        <v>13249.37884707</v>
      </c>
      <c r="AX16" s="10">
        <v>15888.89507432</v>
      </c>
      <c r="AY16" s="10">
        <v>14886.42946863</v>
      </c>
      <c r="AZ16" s="10">
        <v>15912.129690920001</v>
      </c>
      <c r="BA16" s="10">
        <v>18238.613860879999</v>
      </c>
      <c r="BB16" s="10">
        <v>20379.068805790001</v>
      </c>
      <c r="BC16" s="10">
        <v>20478.608744950001</v>
      </c>
      <c r="BD16" s="10">
        <v>23969.174605529999</v>
      </c>
      <c r="BE16" s="10">
        <v>27157.89942768</v>
      </c>
      <c r="BF16" s="10">
        <v>29867.975775220002</v>
      </c>
      <c r="BG16" s="10">
        <v>36443.802603360004</v>
      </c>
      <c r="BH16" s="10">
        <v>34284.13822529</v>
      </c>
      <c r="BI16" s="11">
        <v>34985.012903510004</v>
      </c>
      <c r="BJ16" s="10">
        <v>63871.001967010001</v>
      </c>
      <c r="BK16" s="10">
        <v>69084.905798369989</v>
      </c>
      <c r="BL16" s="10">
        <v>72566.127127140004</v>
      </c>
      <c r="BM16" s="10">
        <v>76487.321748990013</v>
      </c>
      <c r="BN16" s="10">
        <v>84735.35958389999</v>
      </c>
      <c r="BO16" s="10">
        <v>88616.235804539989</v>
      </c>
      <c r="BP16" s="10">
        <v>93785.792490749998</v>
      </c>
      <c r="BQ16" s="10">
        <v>99131.599438499994</v>
      </c>
      <c r="BR16" s="10">
        <v>117325.52464475</v>
      </c>
      <c r="BS16" s="10">
        <v>103016.45068608</v>
      </c>
      <c r="BT16" s="10">
        <v>103412.85868346001</v>
      </c>
      <c r="BU16" s="11">
        <v>101201.36486217</v>
      </c>
      <c r="BV16" s="10">
        <v>117106.98014866</v>
      </c>
      <c r="BW16" s="10">
        <v>110218.60264371001</v>
      </c>
      <c r="BX16" s="10">
        <v>105935.21066003</v>
      </c>
      <c r="BY16" s="10">
        <v>113540.72409124</v>
      </c>
      <c r="BZ16" s="10">
        <v>121597.71244882001</v>
      </c>
      <c r="CA16" s="10">
        <v>131753.91140561001</v>
      </c>
      <c r="CB16" s="10">
        <v>139954.08660872001</v>
      </c>
      <c r="CC16" s="10">
        <v>147723.62772757001</v>
      </c>
      <c r="CD16" s="10">
        <v>155304.90222995999</v>
      </c>
      <c r="CE16" s="10">
        <v>152138.58942410999</v>
      </c>
      <c r="CF16" s="10">
        <v>139926.85164998</v>
      </c>
      <c r="CG16" s="11">
        <v>152466.46374924999</v>
      </c>
      <c r="CH16" s="10">
        <v>153865.78661314002</v>
      </c>
      <c r="CI16" s="10">
        <v>152796.75789450001</v>
      </c>
      <c r="CJ16" s="10">
        <v>142318.11428116</v>
      </c>
      <c r="CK16" s="10">
        <v>168026.85117899999</v>
      </c>
      <c r="CL16" s="10">
        <v>188093.61127485</v>
      </c>
      <c r="CM16" s="10">
        <v>195071.70213106001</v>
      </c>
      <c r="CN16" s="10">
        <v>200760.57636737</v>
      </c>
      <c r="CO16" s="10"/>
    </row>
    <row r="17" spans="1:93" s="12" customFormat="1" ht="11.25" x14ac:dyDescent="0.2">
      <c r="A17" s="9" t="s">
        <v>14</v>
      </c>
      <c r="B17" s="10">
        <v>917.68525313999999</v>
      </c>
      <c r="C17" s="10">
        <v>901.49955205999993</v>
      </c>
      <c r="D17" s="10">
        <v>839.59301120999999</v>
      </c>
      <c r="E17" s="10">
        <v>925.92210150999995</v>
      </c>
      <c r="F17" s="10">
        <v>1011.8723939700001</v>
      </c>
      <c r="G17" s="10">
        <v>932.47080966999999</v>
      </c>
      <c r="H17" s="10">
        <v>947.23157652999998</v>
      </c>
      <c r="I17" s="10">
        <v>1058.91216676</v>
      </c>
      <c r="J17" s="10">
        <v>1113.9569748900001</v>
      </c>
      <c r="K17" s="10">
        <v>1167.2082995599999</v>
      </c>
      <c r="L17" s="10">
        <v>1175.6912635799999</v>
      </c>
      <c r="M17" s="11">
        <v>1226.7203958499999</v>
      </c>
      <c r="N17" s="10">
        <v>1270.3822593599998</v>
      </c>
      <c r="O17" s="10">
        <v>1274.1069821999999</v>
      </c>
      <c r="P17" s="10">
        <v>1104.41895602</v>
      </c>
      <c r="Q17" s="10">
        <v>968.90902474999996</v>
      </c>
      <c r="R17" s="10">
        <v>947.5022888200001</v>
      </c>
      <c r="S17" s="10">
        <v>958.19682639999996</v>
      </c>
      <c r="T17" s="10">
        <v>1107.8762523399998</v>
      </c>
      <c r="U17" s="10">
        <v>1176.3270198900002</v>
      </c>
      <c r="V17" s="10">
        <v>1199.7082306</v>
      </c>
      <c r="W17" s="10">
        <v>1274.50097035</v>
      </c>
      <c r="X17" s="10">
        <v>1381.8950775599999</v>
      </c>
      <c r="Y17" s="11">
        <v>1377.9259191800002</v>
      </c>
      <c r="Z17" s="10">
        <v>1633.00512811</v>
      </c>
      <c r="AA17" s="10">
        <v>1548.6703185599999</v>
      </c>
      <c r="AB17" s="10">
        <v>1600.6632611700002</v>
      </c>
      <c r="AC17" s="10">
        <v>1752.95</v>
      </c>
      <c r="AD17" s="10">
        <v>1698.31457744</v>
      </c>
      <c r="AE17" s="10">
        <v>1650.68273256</v>
      </c>
      <c r="AF17" s="10">
        <v>1939.2048076900001</v>
      </c>
      <c r="AG17" s="10">
        <v>2002.85119233</v>
      </c>
      <c r="AH17" s="10">
        <v>1960.4477227899999</v>
      </c>
      <c r="AI17" s="10">
        <v>2075.7054224200001</v>
      </c>
      <c r="AJ17" s="10">
        <v>2418.67982833</v>
      </c>
      <c r="AK17" s="11">
        <v>2404.1228526700002</v>
      </c>
      <c r="AL17" s="10">
        <v>2711.91787127</v>
      </c>
      <c r="AM17" s="10">
        <v>2499.1390255000001</v>
      </c>
      <c r="AN17" s="10">
        <v>2554.1106942900001</v>
      </c>
      <c r="AO17" s="10">
        <v>2799.6668302100002</v>
      </c>
      <c r="AP17" s="10">
        <v>3096.7152314699997</v>
      </c>
      <c r="AQ17" s="10">
        <v>2889.53900484</v>
      </c>
      <c r="AR17" s="10">
        <v>3466.5302286700003</v>
      </c>
      <c r="AS17" s="10">
        <v>3720.0426890500003</v>
      </c>
      <c r="AT17" s="10">
        <v>3949.3286625800001</v>
      </c>
      <c r="AU17" s="10">
        <v>4102.4443336100003</v>
      </c>
      <c r="AV17" s="10">
        <v>4433.3478906099999</v>
      </c>
      <c r="AW17" s="11">
        <v>4748.9849960900001</v>
      </c>
      <c r="AX17" s="10">
        <v>5668.1551912900004</v>
      </c>
      <c r="AY17" s="10">
        <v>5889.07108823</v>
      </c>
      <c r="AZ17" s="10">
        <v>5903.78569745</v>
      </c>
      <c r="BA17" s="10">
        <v>6251.1652882500002</v>
      </c>
      <c r="BB17" s="10">
        <v>6974.6615572199998</v>
      </c>
      <c r="BC17" s="10">
        <v>6677.24343778</v>
      </c>
      <c r="BD17" s="10">
        <v>8034.7796225500006</v>
      </c>
      <c r="BE17" s="10">
        <v>8762.2153306</v>
      </c>
      <c r="BF17" s="10">
        <v>9757.7611717</v>
      </c>
      <c r="BG17" s="10">
        <v>10734.172062399999</v>
      </c>
      <c r="BH17" s="10">
        <v>11594.885448629999</v>
      </c>
      <c r="BI17" s="11">
        <v>13550.159479850001</v>
      </c>
      <c r="BJ17" s="10">
        <v>19610.12848395</v>
      </c>
      <c r="BK17" s="10">
        <v>23021.133856580003</v>
      </c>
      <c r="BL17" s="10">
        <v>21164.89079781</v>
      </c>
      <c r="BM17" s="10">
        <v>23190.208485750001</v>
      </c>
      <c r="BN17" s="10">
        <v>25179.643893</v>
      </c>
      <c r="BO17" s="10">
        <v>27952.093426060001</v>
      </c>
      <c r="BP17" s="10">
        <v>30756.11128461</v>
      </c>
      <c r="BQ17" s="10">
        <v>32009.530403339999</v>
      </c>
      <c r="BR17" s="10">
        <v>31819.053919450002</v>
      </c>
      <c r="BS17" s="10">
        <v>29591.712410439999</v>
      </c>
      <c r="BT17" s="10">
        <v>32288.81061402</v>
      </c>
      <c r="BU17" s="11">
        <v>36409.698813579998</v>
      </c>
      <c r="BV17" s="10">
        <v>39808.803480369999</v>
      </c>
      <c r="BW17" s="10">
        <v>40069.42230423</v>
      </c>
      <c r="BX17" s="10">
        <v>35714.447589739997</v>
      </c>
      <c r="BY17" s="10">
        <v>38401.696732370001</v>
      </c>
      <c r="BZ17" s="10">
        <v>46876.464785470002</v>
      </c>
      <c r="CA17" s="10">
        <v>43645.603643989998</v>
      </c>
      <c r="CB17" s="10">
        <v>46264.362498620001</v>
      </c>
      <c r="CC17" s="10">
        <v>51323.641606059995</v>
      </c>
      <c r="CD17" s="10">
        <v>50651.779245489997</v>
      </c>
      <c r="CE17" s="10">
        <v>49450.996587069996</v>
      </c>
      <c r="CF17" s="10">
        <v>48603.664779059996</v>
      </c>
      <c r="CG17" s="11">
        <v>54329.136775290004</v>
      </c>
      <c r="CH17" s="10">
        <v>55702.02098655</v>
      </c>
      <c r="CI17" s="10">
        <v>56699.881915350001</v>
      </c>
      <c r="CJ17" s="10">
        <v>53343.525855070002</v>
      </c>
      <c r="CK17" s="10">
        <v>56559.838673260005</v>
      </c>
      <c r="CL17" s="10">
        <v>57501.923566599995</v>
      </c>
      <c r="CM17" s="10">
        <v>58119.829184510003</v>
      </c>
      <c r="CN17" s="10">
        <v>63986.673381449997</v>
      </c>
      <c r="CO17" s="10">
        <v>66024.446877440001</v>
      </c>
    </row>
    <row r="18" spans="1:93" s="12" customFormat="1" ht="11.25" x14ac:dyDescent="0.2">
      <c r="A18" s="9" t="s">
        <v>15</v>
      </c>
      <c r="B18" s="10">
        <v>999.10698710999998</v>
      </c>
      <c r="C18" s="10">
        <v>1023.83209448</v>
      </c>
      <c r="D18" s="10">
        <v>989.44439265999995</v>
      </c>
      <c r="E18" s="10">
        <v>1161.9580000000001</v>
      </c>
      <c r="F18" s="10">
        <v>1212.067</v>
      </c>
      <c r="G18" s="10">
        <v>1321.14760458</v>
      </c>
      <c r="H18" s="10">
        <v>1362.0219999999999</v>
      </c>
      <c r="I18" s="10">
        <v>1518.02741124</v>
      </c>
      <c r="J18" s="10">
        <v>1592.24125785</v>
      </c>
      <c r="K18" s="10">
        <v>1522.337855</v>
      </c>
      <c r="L18" s="10">
        <v>1668.4317809200002</v>
      </c>
      <c r="M18" s="11">
        <v>1555.61360971</v>
      </c>
      <c r="N18" s="10">
        <v>1818.3319072000002</v>
      </c>
      <c r="O18" s="10">
        <v>1711.6539714</v>
      </c>
      <c r="P18" s="10">
        <v>1671.9139709900001</v>
      </c>
      <c r="Q18" s="10">
        <v>1308.07533102</v>
      </c>
      <c r="R18" s="10">
        <v>1382.24915708</v>
      </c>
      <c r="S18" s="10">
        <v>1481.76759399</v>
      </c>
      <c r="T18" s="10">
        <v>1728.3143239799999</v>
      </c>
      <c r="U18" s="10">
        <v>1910.44095793</v>
      </c>
      <c r="V18" s="10">
        <v>1914.89597678</v>
      </c>
      <c r="W18" s="10">
        <v>2123.4699735599997</v>
      </c>
      <c r="X18" s="10">
        <v>2037.8332839899999</v>
      </c>
      <c r="Y18" s="11">
        <v>2047.4783845499999</v>
      </c>
      <c r="Z18" s="10">
        <v>2399.9252087</v>
      </c>
      <c r="AA18" s="10">
        <v>2250.6825721300002</v>
      </c>
      <c r="AB18" s="10">
        <v>2330.15942524</v>
      </c>
      <c r="AC18" s="10">
        <v>2588.4161524900001</v>
      </c>
      <c r="AD18" s="10">
        <v>2668.3587855599999</v>
      </c>
      <c r="AE18" s="10">
        <v>2987.1065092200001</v>
      </c>
      <c r="AF18" s="10">
        <v>3136.6788527399999</v>
      </c>
      <c r="AG18" s="10">
        <v>3647.6880000000001</v>
      </c>
      <c r="AH18" s="10">
        <v>4046.9217505500001</v>
      </c>
      <c r="AI18" s="10">
        <v>3849.5533081100002</v>
      </c>
      <c r="AJ18" s="10">
        <v>3793.0974939499997</v>
      </c>
      <c r="AK18" s="11">
        <v>3710.5674352399997</v>
      </c>
      <c r="AL18" s="10">
        <v>3863.0852434399999</v>
      </c>
      <c r="AM18" s="10">
        <v>3622.21098338</v>
      </c>
      <c r="AN18" s="10">
        <v>3868.9639222000001</v>
      </c>
      <c r="AO18" s="10">
        <v>4490.3244508099997</v>
      </c>
      <c r="AP18" s="10">
        <v>4927.9991764099996</v>
      </c>
      <c r="AQ18" s="10">
        <v>5414.3671493100001</v>
      </c>
      <c r="AR18" s="10">
        <v>6130.0765247500003</v>
      </c>
      <c r="AS18" s="10">
        <v>7200.17185728</v>
      </c>
      <c r="AT18" s="10">
        <v>7164.9698114800003</v>
      </c>
      <c r="AU18" s="10">
        <v>7256.2622458899996</v>
      </c>
      <c r="AV18" s="10">
        <v>7631.5507139800002</v>
      </c>
      <c r="AW18" s="11">
        <v>7481.78373302</v>
      </c>
      <c r="AX18" s="10">
        <v>8602.4300800700003</v>
      </c>
      <c r="AY18" s="10">
        <v>8107.6061408699998</v>
      </c>
      <c r="AZ18" s="10">
        <v>8995.1084951399989</v>
      </c>
      <c r="BA18" s="10">
        <v>10321.0218375</v>
      </c>
      <c r="BB18" s="10">
        <v>11019.054653809999</v>
      </c>
      <c r="BC18" s="10">
        <v>12010.50219311</v>
      </c>
      <c r="BD18" s="10">
        <v>14793.798170549999</v>
      </c>
      <c r="BE18" s="10">
        <v>15426.126277450001</v>
      </c>
      <c r="BF18" s="10">
        <v>17672.176653729999</v>
      </c>
      <c r="BG18" s="10">
        <v>19452.120681550001</v>
      </c>
      <c r="BH18" s="10">
        <v>22968.404964450001</v>
      </c>
      <c r="BI18" s="11">
        <v>24607.325506330002</v>
      </c>
      <c r="BJ18" s="10">
        <v>30828.44718521</v>
      </c>
      <c r="BK18" s="10">
        <v>33372.665656420002</v>
      </c>
      <c r="BL18" s="10">
        <v>37647.398895099999</v>
      </c>
      <c r="BM18" s="10">
        <v>42862.42960558</v>
      </c>
      <c r="BN18" s="10">
        <v>42359.67879459</v>
      </c>
      <c r="BO18" s="10">
        <v>41132.037975449995</v>
      </c>
      <c r="BP18" s="10">
        <v>44134.948473789998</v>
      </c>
      <c r="BQ18" s="10">
        <v>50214.684125059997</v>
      </c>
      <c r="BR18" s="10">
        <v>55302.603845220001</v>
      </c>
      <c r="BS18" s="10">
        <v>51055.182143520004</v>
      </c>
      <c r="BT18" s="10">
        <v>53534.745437040001</v>
      </c>
      <c r="BU18" s="11">
        <v>48594.600164360003</v>
      </c>
      <c r="BV18" s="10">
        <v>53054.096683739997</v>
      </c>
      <c r="BW18" s="10">
        <v>50339.772849519999</v>
      </c>
      <c r="BX18" s="10">
        <v>49797.413483660006</v>
      </c>
      <c r="BY18" s="10">
        <v>51877.167133390001</v>
      </c>
      <c r="BZ18" s="10">
        <v>55718.16165622</v>
      </c>
      <c r="CA18" s="10">
        <v>53664.590552660004</v>
      </c>
      <c r="CB18" s="10">
        <v>55940.532820139997</v>
      </c>
      <c r="CC18" s="10">
        <v>65839.761323769999</v>
      </c>
      <c r="CD18" s="10">
        <v>62274.135222520003</v>
      </c>
      <c r="CE18" s="10">
        <v>63794.817567040001</v>
      </c>
      <c r="CF18" s="10">
        <v>64668.430241379996</v>
      </c>
      <c r="CG18" s="11">
        <v>62394.846681290001</v>
      </c>
      <c r="CH18" s="10">
        <v>68690.515582890002</v>
      </c>
      <c r="CI18" s="10">
        <v>62276.50715926</v>
      </c>
      <c r="CJ18" s="10">
        <v>58460.322047919995</v>
      </c>
      <c r="CK18" s="10">
        <v>65668.346506889997</v>
      </c>
      <c r="CL18" s="10">
        <v>66653.716436429997</v>
      </c>
      <c r="CM18" s="10">
        <v>66384.834878499998</v>
      </c>
      <c r="CN18" s="10"/>
      <c r="CO18" s="10"/>
    </row>
    <row r="19" spans="1:93" s="12" customFormat="1" ht="11.25" x14ac:dyDescent="0.2">
      <c r="A19" s="9" t="s">
        <v>16</v>
      </c>
      <c r="B19" s="10">
        <v>435.92185002999997</v>
      </c>
      <c r="C19" s="10">
        <v>421.19057522000003</v>
      </c>
      <c r="D19" s="10">
        <v>396.41448960000002</v>
      </c>
      <c r="E19" s="10">
        <v>447.14156193999997</v>
      </c>
      <c r="F19" s="10">
        <v>466.83977873000003</v>
      </c>
      <c r="G19" s="10">
        <v>468.67916338999999</v>
      </c>
      <c r="H19" s="10">
        <v>464.41255532999998</v>
      </c>
      <c r="I19" s="10">
        <v>522.08764613999995</v>
      </c>
      <c r="J19" s="10">
        <v>506.09874687000001</v>
      </c>
      <c r="K19" s="10">
        <v>522.88639622000005</v>
      </c>
      <c r="L19" s="10">
        <v>569.85657592999996</v>
      </c>
      <c r="M19" s="11">
        <v>536.22789659</v>
      </c>
      <c r="N19" s="10">
        <v>625.86126400000001</v>
      </c>
      <c r="O19" s="10">
        <v>539.63358200000005</v>
      </c>
      <c r="P19" s="10">
        <v>558.64663900000005</v>
      </c>
      <c r="Q19" s="10">
        <v>580.52167099999997</v>
      </c>
      <c r="R19" s="10">
        <v>532.34258</v>
      </c>
      <c r="S19" s="10">
        <v>554.62617599999999</v>
      </c>
      <c r="T19" s="10">
        <v>588.24991499999999</v>
      </c>
      <c r="U19" s="10">
        <v>609.71954100000005</v>
      </c>
      <c r="V19" s="10">
        <v>616.50321199999996</v>
      </c>
      <c r="W19" s="10">
        <v>663.66136100000006</v>
      </c>
      <c r="X19" s="10">
        <v>703.56320800000003</v>
      </c>
      <c r="Y19" s="11">
        <v>799.11100799999997</v>
      </c>
      <c r="Z19" s="10">
        <v>889.68217400000003</v>
      </c>
      <c r="AA19" s="10">
        <v>793.54003299999999</v>
      </c>
      <c r="AB19" s="10">
        <v>839.70529099999999</v>
      </c>
      <c r="AC19" s="10">
        <v>1000.56</v>
      </c>
      <c r="AD19" s="10">
        <v>918.96755099999996</v>
      </c>
      <c r="AE19" s="10">
        <v>1022.319171</v>
      </c>
      <c r="AF19" s="10">
        <v>1077.0009070000001</v>
      </c>
      <c r="AG19" s="10">
        <v>1094.1197890000001</v>
      </c>
      <c r="AH19" s="10">
        <v>1205.1049129999999</v>
      </c>
      <c r="AI19" s="10">
        <v>1214.7657839999999</v>
      </c>
      <c r="AJ19" s="10">
        <v>1315.360038</v>
      </c>
      <c r="AK19" s="11">
        <v>1271.2764099999999</v>
      </c>
      <c r="AL19" s="10">
        <v>1473.164497</v>
      </c>
      <c r="AM19" s="10">
        <v>1258.6644200000001</v>
      </c>
      <c r="AN19" s="10">
        <v>1481.649416</v>
      </c>
      <c r="AO19" s="10">
        <v>1568.198836</v>
      </c>
      <c r="AP19" s="10">
        <v>1685.0390640000001</v>
      </c>
      <c r="AQ19" s="10">
        <v>1740.540798</v>
      </c>
      <c r="AR19" s="10">
        <v>2059.3667580000001</v>
      </c>
      <c r="AS19" s="10">
        <v>2082.165923</v>
      </c>
      <c r="AT19" s="10">
        <v>2132.7613270000002</v>
      </c>
      <c r="AU19" s="10">
        <v>2217.07222</v>
      </c>
      <c r="AV19" s="10">
        <v>2398.5924460000001</v>
      </c>
      <c r="AW19" s="11">
        <v>2379.499296</v>
      </c>
      <c r="AX19" s="10">
        <v>3218.8675490000001</v>
      </c>
      <c r="AY19" s="10">
        <v>2607.1695020000002</v>
      </c>
      <c r="AZ19" s="10">
        <v>3328.7805170000001</v>
      </c>
      <c r="BA19" s="10">
        <v>3545.9788560000002</v>
      </c>
      <c r="BB19" s="10">
        <v>3987.2043619999999</v>
      </c>
      <c r="BC19" s="10">
        <v>4059.5243489999998</v>
      </c>
      <c r="BD19" s="10">
        <v>4450.116978</v>
      </c>
      <c r="BE19" s="10">
        <v>4673.4128490000003</v>
      </c>
      <c r="BF19" s="10">
        <v>5517.0351639999999</v>
      </c>
      <c r="BG19" s="10">
        <v>6404.7087879999999</v>
      </c>
      <c r="BH19" s="10">
        <v>6800.3046670000003</v>
      </c>
      <c r="BI19" s="11">
        <v>7542.5930529999996</v>
      </c>
      <c r="BJ19" s="10">
        <v>9627.3879730000008</v>
      </c>
      <c r="BK19" s="10">
        <v>10190.058564999999</v>
      </c>
      <c r="BL19" s="10">
        <v>11507.109275999999</v>
      </c>
      <c r="BM19" s="10">
        <v>12546.597435</v>
      </c>
      <c r="BN19" s="10">
        <v>13305.075667999999</v>
      </c>
      <c r="BO19" s="10">
        <v>12787.706886</v>
      </c>
      <c r="BP19" s="10">
        <v>13408.339537</v>
      </c>
      <c r="BQ19" s="10">
        <v>14181.700851</v>
      </c>
      <c r="BR19" s="10">
        <v>14645.713879000001</v>
      </c>
      <c r="BS19" s="10">
        <v>14642.555461</v>
      </c>
      <c r="BT19" s="10">
        <v>15914.086942</v>
      </c>
      <c r="BU19" s="11">
        <v>15681.280296999999</v>
      </c>
      <c r="BV19" s="10">
        <v>18108.390254999998</v>
      </c>
      <c r="BW19" s="10">
        <v>17292.783900999999</v>
      </c>
      <c r="BX19" s="10">
        <v>17285.711314</v>
      </c>
      <c r="BY19" s="10">
        <v>18699.215508000001</v>
      </c>
      <c r="BZ19" s="10">
        <v>20087.512626</v>
      </c>
      <c r="CA19" s="10">
        <v>20394.017094999999</v>
      </c>
      <c r="CB19" s="10">
        <v>20251.113002999999</v>
      </c>
      <c r="CC19" s="10">
        <v>21439.294398999999</v>
      </c>
      <c r="CD19" s="10">
        <v>21744.626745000001</v>
      </c>
      <c r="CE19" s="10">
        <v>22756.998707999999</v>
      </c>
      <c r="CF19" s="10">
        <v>22836.090055000001</v>
      </c>
      <c r="CG19" s="11">
        <v>23956.205193999998</v>
      </c>
      <c r="CH19" s="10">
        <v>25908.117672</v>
      </c>
      <c r="CI19" s="10">
        <v>24534.546415000001</v>
      </c>
      <c r="CJ19" s="10">
        <v>24144.661903</v>
      </c>
      <c r="CK19" s="10">
        <v>27019.945424000001</v>
      </c>
      <c r="CL19" s="10">
        <v>26638.949047999999</v>
      </c>
      <c r="CM19" s="10">
        <v>28380.702591000001</v>
      </c>
      <c r="CN19" s="10">
        <v>26918.16689</v>
      </c>
      <c r="CO19" s="10">
        <v>27616.745900000002</v>
      </c>
    </row>
    <row r="20" spans="1:93" s="12" customFormat="1" ht="11.25" x14ac:dyDescent="0.2">
      <c r="A20" s="9" t="s">
        <v>17</v>
      </c>
      <c r="B20" s="10">
        <v>492.54370068999998</v>
      </c>
      <c r="C20" s="10">
        <v>504.02786308999998</v>
      </c>
      <c r="D20" s="10">
        <v>471.58914842000001</v>
      </c>
      <c r="E20" s="10">
        <v>495.97720369000001</v>
      </c>
      <c r="F20" s="10">
        <v>564.40305857999999</v>
      </c>
      <c r="G20" s="10">
        <v>567.29141181</v>
      </c>
      <c r="H20" s="10">
        <v>560.60299999999995</v>
      </c>
      <c r="I20" s="10">
        <v>629.74985162999997</v>
      </c>
      <c r="J20" s="10">
        <v>685.78147854999997</v>
      </c>
      <c r="K20" s="10">
        <v>626.11281739000003</v>
      </c>
      <c r="L20" s="10">
        <v>724.17197619000001</v>
      </c>
      <c r="M20" s="11">
        <v>692.95664396000006</v>
      </c>
      <c r="N20" s="10">
        <v>724.25628473000006</v>
      </c>
      <c r="O20" s="10">
        <v>718.36373228000002</v>
      </c>
      <c r="P20" s="10">
        <v>648.55782566999994</v>
      </c>
      <c r="Q20" s="10">
        <v>589.00282584000001</v>
      </c>
      <c r="R20" s="10">
        <v>621.77275265999992</v>
      </c>
      <c r="S20" s="10">
        <v>708.25046526999995</v>
      </c>
      <c r="T20" s="10">
        <v>779.80299038999999</v>
      </c>
      <c r="U20" s="10">
        <v>817.55957983000008</v>
      </c>
      <c r="V20" s="10">
        <v>787.77503463999994</v>
      </c>
      <c r="W20" s="10">
        <v>811.00601835999998</v>
      </c>
      <c r="X20" s="10">
        <v>844.56046713000001</v>
      </c>
      <c r="Y20" s="11">
        <v>890.45135895999999</v>
      </c>
      <c r="Z20" s="10">
        <v>1044.28111279</v>
      </c>
      <c r="AA20" s="10">
        <v>951.34451826999998</v>
      </c>
      <c r="AB20" s="10">
        <v>956.98222921000001</v>
      </c>
      <c r="AC20" s="10">
        <v>1088.4344484799999</v>
      </c>
      <c r="AD20" s="10">
        <v>1069.43527034</v>
      </c>
      <c r="AE20" s="10">
        <v>1165.30711836</v>
      </c>
      <c r="AF20" s="10">
        <v>1248.5533670299999</v>
      </c>
      <c r="AG20" s="10">
        <v>1352.52047584</v>
      </c>
      <c r="AH20" s="10">
        <v>1359.3444393</v>
      </c>
      <c r="AI20" s="10">
        <v>1462.77398427</v>
      </c>
      <c r="AJ20" s="10">
        <v>1520.277</v>
      </c>
      <c r="AK20" s="11">
        <v>1595.7874654000002</v>
      </c>
      <c r="AL20" s="10">
        <v>1836.9218782400001</v>
      </c>
      <c r="AM20" s="10">
        <v>1666.7564950799999</v>
      </c>
      <c r="AN20" s="10">
        <v>1743.0769874699999</v>
      </c>
      <c r="AO20" s="10">
        <v>2005.71606479</v>
      </c>
      <c r="AP20" s="10">
        <v>2134.4341396700001</v>
      </c>
      <c r="AQ20" s="10">
        <v>2253.9745497499998</v>
      </c>
      <c r="AR20" s="10">
        <v>2469.11785693</v>
      </c>
      <c r="AS20" s="10">
        <v>2583.3629017500002</v>
      </c>
      <c r="AT20" s="10">
        <v>2945.0713393999999</v>
      </c>
      <c r="AU20" s="10">
        <v>2905.35373097</v>
      </c>
      <c r="AV20" s="10">
        <v>3095.1313180799998</v>
      </c>
      <c r="AW20" s="11">
        <v>3151.15649992</v>
      </c>
      <c r="AX20" s="10">
        <v>3548.5722308099998</v>
      </c>
      <c r="AY20" s="10">
        <v>4038.15063904</v>
      </c>
      <c r="AZ20" s="10">
        <v>3510.1234073700002</v>
      </c>
      <c r="BA20" s="10">
        <v>4085.9358557</v>
      </c>
      <c r="BB20" s="10">
        <v>4599.9914757100005</v>
      </c>
      <c r="BC20" s="10">
        <v>4907.0456536700003</v>
      </c>
      <c r="BD20" s="10">
        <v>5355.13346576</v>
      </c>
      <c r="BE20" s="10">
        <v>6022.2255426000002</v>
      </c>
      <c r="BF20" s="10">
        <v>6597.1664962699997</v>
      </c>
      <c r="BG20" s="10">
        <v>7085.3406682499999</v>
      </c>
      <c r="BH20" s="10">
        <v>8255.2269837999993</v>
      </c>
      <c r="BI20" s="11">
        <v>8774.1741189099994</v>
      </c>
      <c r="BJ20" s="10">
        <v>11688.839731729999</v>
      </c>
      <c r="BK20" s="10">
        <v>11748.55052585</v>
      </c>
      <c r="BL20" s="10">
        <v>12828.78967335</v>
      </c>
      <c r="BM20" s="10">
        <v>13717.23346501</v>
      </c>
      <c r="BN20" s="10">
        <v>15035.4241191</v>
      </c>
      <c r="BO20" s="10">
        <v>15388.33572184</v>
      </c>
      <c r="BP20" s="10">
        <v>15865.6434231</v>
      </c>
      <c r="BQ20" s="10">
        <v>17576.458228529998</v>
      </c>
      <c r="BR20" s="10">
        <v>17660.060117960002</v>
      </c>
      <c r="BS20" s="10">
        <v>17672.951040870001</v>
      </c>
      <c r="BT20" s="10">
        <v>19059.869372669997</v>
      </c>
      <c r="BU20" s="11">
        <v>19240.282968669999</v>
      </c>
      <c r="BV20" s="10">
        <v>21362.31671345</v>
      </c>
      <c r="BW20" s="10">
        <v>19962.099942929999</v>
      </c>
      <c r="BX20" s="10">
        <v>19098.953334419999</v>
      </c>
      <c r="BY20" s="10">
        <v>19746.578335300001</v>
      </c>
      <c r="BZ20" s="10">
        <v>21988.441541439999</v>
      </c>
      <c r="CA20" s="10">
        <v>21966.022752410001</v>
      </c>
      <c r="CB20" s="10">
        <v>23642.708071139998</v>
      </c>
      <c r="CC20" s="10">
        <v>24554.404807580002</v>
      </c>
      <c r="CD20" s="10">
        <v>23115.56271056</v>
      </c>
      <c r="CE20" s="10">
        <v>23545.54731736</v>
      </c>
      <c r="CF20" s="10">
        <v>24911.470320830002</v>
      </c>
      <c r="CG20" s="11">
        <v>25110.653840439998</v>
      </c>
      <c r="CH20" s="10">
        <v>27476.857921089999</v>
      </c>
      <c r="CI20" s="10">
        <v>25734.6609522</v>
      </c>
      <c r="CJ20" s="10">
        <v>24638.26459554</v>
      </c>
      <c r="CK20" s="10">
        <v>26842.186321910001</v>
      </c>
      <c r="CL20" s="10">
        <v>27705.083456799999</v>
      </c>
      <c r="CM20" s="10">
        <v>28344.807634950001</v>
      </c>
      <c r="CN20" s="10">
        <v>29640.515174439999</v>
      </c>
      <c r="CO20" s="10">
        <v>30965.546491919999</v>
      </c>
    </row>
    <row r="21" spans="1:93" s="12" customFormat="1" ht="11.25" x14ac:dyDescent="0.2">
      <c r="A21" s="9" t="s">
        <v>18</v>
      </c>
      <c r="B21" s="10">
        <v>798.22261865999997</v>
      </c>
      <c r="C21" s="10">
        <v>755.34761528000001</v>
      </c>
      <c r="D21" s="10">
        <v>748.70826427999998</v>
      </c>
      <c r="E21" s="10">
        <v>803.15206229</v>
      </c>
      <c r="F21" s="10">
        <v>892.97196166999993</v>
      </c>
      <c r="G21" s="10">
        <v>869.05724169000007</v>
      </c>
      <c r="H21" s="10">
        <v>854.21556157000009</v>
      </c>
      <c r="I21" s="10">
        <v>925.6209834199999</v>
      </c>
      <c r="J21" s="10">
        <v>900.95000478999998</v>
      </c>
      <c r="K21" s="10">
        <v>1016.87399591</v>
      </c>
      <c r="L21" s="10">
        <v>1069.6009356100001</v>
      </c>
      <c r="M21" s="11">
        <v>1081.2796557899999</v>
      </c>
      <c r="N21" s="10">
        <v>1151.76778623</v>
      </c>
      <c r="O21" s="10">
        <v>1067.9712511499999</v>
      </c>
      <c r="P21" s="10">
        <v>977.57740859</v>
      </c>
      <c r="Q21" s="10">
        <v>987.39789119000011</v>
      </c>
      <c r="R21" s="10">
        <v>767.80543466999995</v>
      </c>
      <c r="S21" s="10">
        <v>682.20354737000002</v>
      </c>
      <c r="T21" s="10">
        <v>850.6872532000001</v>
      </c>
      <c r="U21" s="10">
        <v>929.68769055999996</v>
      </c>
      <c r="V21" s="10">
        <v>946.51819223999996</v>
      </c>
      <c r="W21" s="10">
        <v>1059.48144708</v>
      </c>
      <c r="X21" s="10">
        <v>1168.8794234000002</v>
      </c>
      <c r="Y21" s="11">
        <v>1063.4121250200001</v>
      </c>
      <c r="Z21" s="10">
        <v>1379.34545097</v>
      </c>
      <c r="AA21" s="10">
        <v>1244.3983660599999</v>
      </c>
      <c r="AB21" s="10">
        <v>1337.15687095</v>
      </c>
      <c r="AC21" s="10">
        <v>1557.76</v>
      </c>
      <c r="AD21" s="10">
        <v>1557.6543074200001</v>
      </c>
      <c r="AE21" s="10">
        <v>1602.6066008399998</v>
      </c>
      <c r="AF21" s="10">
        <v>1708.54827133</v>
      </c>
      <c r="AG21" s="10">
        <v>1883.31677988</v>
      </c>
      <c r="AH21" s="10">
        <v>1943.0303537899999</v>
      </c>
      <c r="AI21" s="10">
        <v>2022.7012454400001</v>
      </c>
      <c r="AJ21" s="10">
        <v>2118.5844763</v>
      </c>
      <c r="AK21" s="11">
        <v>2214.1324483899998</v>
      </c>
      <c r="AL21" s="10">
        <v>2387.8364701999999</v>
      </c>
      <c r="AM21" s="10">
        <v>2214.8690845799997</v>
      </c>
      <c r="AN21" s="10">
        <v>2247.8633071300001</v>
      </c>
      <c r="AO21" s="10">
        <v>2582.71643051</v>
      </c>
      <c r="AP21" s="10">
        <v>2568.9898089399999</v>
      </c>
      <c r="AQ21" s="10">
        <v>2814.0824869099997</v>
      </c>
      <c r="AR21" s="10">
        <v>3239.3041071399998</v>
      </c>
      <c r="AS21" s="10">
        <v>3233.7741500500001</v>
      </c>
      <c r="AT21" s="10">
        <v>3547.8455508100001</v>
      </c>
      <c r="AU21" s="10">
        <v>3505.0484248499997</v>
      </c>
      <c r="AV21" s="10">
        <v>3894.3262383400001</v>
      </c>
      <c r="AW21" s="11">
        <v>4341.9156480600004</v>
      </c>
      <c r="AX21" s="10">
        <v>4678.3724337700005</v>
      </c>
      <c r="AY21" s="10">
        <v>4381.1926817100002</v>
      </c>
      <c r="AZ21" s="10">
        <v>5111.6622280500005</v>
      </c>
      <c r="BA21" s="10">
        <v>5541.5132083400003</v>
      </c>
      <c r="BB21" s="10">
        <v>6134.6250189499997</v>
      </c>
      <c r="BC21" s="10">
        <v>6207.7247466199997</v>
      </c>
      <c r="BD21" s="10">
        <v>7602.4679568500005</v>
      </c>
      <c r="BE21" s="10">
        <v>7329.9192983800003</v>
      </c>
      <c r="BF21" s="10">
        <v>7344.2315524799997</v>
      </c>
      <c r="BG21" s="10">
        <v>9781.2360378100002</v>
      </c>
      <c r="BH21" s="10">
        <v>9786.77808955</v>
      </c>
      <c r="BI21" s="11">
        <v>10460.519016229999</v>
      </c>
      <c r="BJ21" s="10">
        <v>15455.82864815</v>
      </c>
      <c r="BK21" s="10">
        <v>18459.564069520002</v>
      </c>
      <c r="BL21" s="10">
        <v>18825.751889110001</v>
      </c>
      <c r="BM21" s="10">
        <v>19927.220795180001</v>
      </c>
      <c r="BN21" s="10">
        <v>20698.181491539999</v>
      </c>
      <c r="BO21" s="10">
        <v>20908.600380840002</v>
      </c>
      <c r="BP21" s="10">
        <v>21198.80305228</v>
      </c>
      <c r="BQ21" s="10">
        <v>22409.996553689998</v>
      </c>
      <c r="BR21" s="10">
        <v>23037.555925020002</v>
      </c>
      <c r="BS21" s="10">
        <v>23835.701044669997</v>
      </c>
      <c r="BT21" s="10">
        <v>26865.455227049999</v>
      </c>
      <c r="BU21" s="11">
        <v>25865.401885560001</v>
      </c>
      <c r="BV21" s="10">
        <v>29402.171919389999</v>
      </c>
      <c r="BW21" s="10">
        <v>27070.330888610002</v>
      </c>
      <c r="BX21" s="10">
        <v>26074.069074389998</v>
      </c>
      <c r="BY21" s="10">
        <v>26411.929123740003</v>
      </c>
      <c r="BZ21" s="10">
        <v>28665.678546160001</v>
      </c>
      <c r="CA21" s="10">
        <v>26534.82177907</v>
      </c>
      <c r="CB21" s="10">
        <v>27525.765258259999</v>
      </c>
      <c r="CC21" s="10">
        <v>28314.540935770001</v>
      </c>
      <c r="CD21" s="10">
        <v>27354.579037080002</v>
      </c>
      <c r="CE21" s="10">
        <v>28557.53640778</v>
      </c>
      <c r="CF21" s="10">
        <v>29441.094481080003</v>
      </c>
      <c r="CG21" s="11">
        <v>31477.381649040002</v>
      </c>
      <c r="CH21" s="10">
        <v>43618.753561789999</v>
      </c>
      <c r="CI21" s="10">
        <v>33881.241821809999</v>
      </c>
      <c r="CJ21" s="10">
        <v>30440.326054509998</v>
      </c>
      <c r="CK21" s="10">
        <v>34433.434536629997</v>
      </c>
      <c r="CL21" s="10">
        <v>34138.652010730002</v>
      </c>
      <c r="CM21" s="10">
        <v>36455.45360796</v>
      </c>
      <c r="CN21" s="10">
        <v>35857.136687309998</v>
      </c>
      <c r="CO21" s="10"/>
    </row>
    <row r="22" spans="1:93" s="12" customFormat="1" ht="11.25" x14ac:dyDescent="0.2">
      <c r="A22" s="9" t="s">
        <v>19</v>
      </c>
      <c r="B22" s="10">
        <v>4231.9022329999998</v>
      </c>
      <c r="C22" s="10">
        <v>4274.4125610000001</v>
      </c>
      <c r="D22" s="10">
        <v>4059.8269849999992</v>
      </c>
      <c r="E22" s="10">
        <v>4424.3599999999997</v>
      </c>
      <c r="F22" s="10">
        <v>4707.3568139999998</v>
      </c>
      <c r="G22" s="10">
        <v>4706.9602459999996</v>
      </c>
      <c r="H22" s="10">
        <v>4656.8019710000008</v>
      </c>
      <c r="I22" s="10">
        <v>5137.6304650000038</v>
      </c>
      <c r="J22" s="10">
        <v>5619.1669989999982</v>
      </c>
      <c r="K22" s="10">
        <v>5563.79</v>
      </c>
      <c r="L22" s="10">
        <v>6270.88</v>
      </c>
      <c r="M22" s="11">
        <v>6249.2</v>
      </c>
      <c r="N22" s="10">
        <v>6455.96</v>
      </c>
      <c r="O22" s="10">
        <v>6128.32</v>
      </c>
      <c r="P22" s="10">
        <v>5554.87</v>
      </c>
      <c r="Q22" s="10">
        <v>5144.59</v>
      </c>
      <c r="R22" s="10">
        <v>6375.79</v>
      </c>
      <c r="S22" s="10">
        <v>6707.28</v>
      </c>
      <c r="T22" s="10">
        <v>7666.76</v>
      </c>
      <c r="U22" s="10">
        <v>7847.8</v>
      </c>
      <c r="V22" s="10">
        <v>7650.01</v>
      </c>
      <c r="W22" s="10">
        <v>8063.27</v>
      </c>
      <c r="X22" s="10">
        <v>8754.31</v>
      </c>
      <c r="Y22" s="11">
        <v>7884.11</v>
      </c>
      <c r="Z22" s="10">
        <v>9153.3700000000008</v>
      </c>
      <c r="AA22" s="10">
        <v>8449.2999999999993</v>
      </c>
      <c r="AB22" s="10">
        <v>8785.24</v>
      </c>
      <c r="AC22" s="10">
        <v>9782.6299999999992</v>
      </c>
      <c r="AD22" s="10">
        <v>10627.13</v>
      </c>
      <c r="AE22" s="10">
        <v>11079.17</v>
      </c>
      <c r="AF22" s="10">
        <v>11415.9</v>
      </c>
      <c r="AG22" s="10">
        <v>11975.48</v>
      </c>
      <c r="AH22" s="10">
        <v>12622</v>
      </c>
      <c r="AI22" s="10">
        <v>12636.59</v>
      </c>
      <c r="AJ22" s="10">
        <v>14047.55</v>
      </c>
      <c r="AK22" s="11">
        <v>14317.62</v>
      </c>
      <c r="AL22" s="10">
        <v>15298.79</v>
      </c>
      <c r="AM22" s="10">
        <v>13908.27</v>
      </c>
      <c r="AN22" s="10">
        <v>14200.76</v>
      </c>
      <c r="AO22" s="10">
        <v>17121.61</v>
      </c>
      <c r="AP22" s="10">
        <v>18556.21</v>
      </c>
      <c r="AQ22" s="10">
        <v>20150.05</v>
      </c>
      <c r="AR22" s="10">
        <v>22240.18</v>
      </c>
      <c r="AS22" s="10">
        <v>21707.07</v>
      </c>
      <c r="AT22" s="10">
        <v>24322.26</v>
      </c>
      <c r="AU22" s="10">
        <v>24595.83</v>
      </c>
      <c r="AV22" s="10">
        <v>25608.93</v>
      </c>
      <c r="AW22" s="11">
        <v>26477.42</v>
      </c>
      <c r="AX22" s="10">
        <v>29994.86</v>
      </c>
      <c r="AY22" s="10">
        <v>26096.83</v>
      </c>
      <c r="AZ22" s="10">
        <v>28756.38</v>
      </c>
      <c r="BA22" s="10">
        <v>33063.360000000001</v>
      </c>
      <c r="BB22" s="10">
        <v>38413.699999999997</v>
      </c>
      <c r="BC22" s="10">
        <v>42258.33</v>
      </c>
      <c r="BD22" s="10">
        <v>46668.92</v>
      </c>
      <c r="BE22" s="10">
        <v>53202.55</v>
      </c>
      <c r="BF22" s="10">
        <v>58793.86</v>
      </c>
      <c r="BG22" s="10">
        <v>65625.570000000007</v>
      </c>
      <c r="BH22" s="10">
        <v>67863.41</v>
      </c>
      <c r="BI22" s="11">
        <v>76224.77</v>
      </c>
      <c r="BJ22" s="10">
        <v>99467.98</v>
      </c>
      <c r="BK22" s="10">
        <v>111216</v>
      </c>
      <c r="BL22" s="10">
        <v>119433.73</v>
      </c>
      <c r="BM22" s="10">
        <v>125146.25</v>
      </c>
      <c r="BN22" s="10">
        <v>135385.96</v>
      </c>
      <c r="BO22" s="10">
        <v>145011.72</v>
      </c>
      <c r="BP22" s="10">
        <v>140278.95000000001</v>
      </c>
      <c r="BQ22" s="10">
        <v>153482.29999999999</v>
      </c>
      <c r="BR22" s="10">
        <v>154188.26999999999</v>
      </c>
      <c r="BS22" s="10">
        <v>153002.12</v>
      </c>
      <c r="BT22" s="10">
        <v>167082.54999999999</v>
      </c>
      <c r="BU22" s="11">
        <v>163510</v>
      </c>
      <c r="BV22" s="10">
        <v>177762.54</v>
      </c>
      <c r="BW22" s="10">
        <v>182525.14</v>
      </c>
      <c r="BX22" s="10">
        <v>160059.53</v>
      </c>
      <c r="BY22" s="10">
        <v>178527.5</v>
      </c>
      <c r="BZ22" s="10">
        <v>198473.87</v>
      </c>
      <c r="CA22" s="10">
        <v>213065.27</v>
      </c>
      <c r="CB22" s="10">
        <v>216795.63</v>
      </c>
      <c r="CC22" s="10">
        <v>224448.63</v>
      </c>
      <c r="CD22" s="10">
        <v>224415.3</v>
      </c>
      <c r="CE22" s="10">
        <v>235115.49</v>
      </c>
      <c r="CF22" s="10">
        <v>217308.37</v>
      </c>
      <c r="CG22" s="11">
        <v>236835.58</v>
      </c>
      <c r="CH22" s="10">
        <v>252042.73</v>
      </c>
      <c r="CI22" s="10">
        <v>233884.7</v>
      </c>
      <c r="CJ22" s="10">
        <v>214852.27</v>
      </c>
      <c r="CK22" s="10">
        <v>244288.83</v>
      </c>
      <c r="CL22" s="10">
        <v>250584.41</v>
      </c>
      <c r="CM22" s="10">
        <v>259217.74</v>
      </c>
      <c r="CN22" s="10"/>
      <c r="CO22" s="10"/>
    </row>
    <row r="23" spans="1:93" s="12" customFormat="1" ht="11.25" x14ac:dyDescent="0.2">
      <c r="A23" s="9" t="s">
        <v>53</v>
      </c>
      <c r="B23" s="10" t="s">
        <v>24</v>
      </c>
      <c r="C23" s="10" t="s">
        <v>24</v>
      </c>
      <c r="D23" s="10" t="s">
        <v>24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1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24</v>
      </c>
      <c r="S23" s="10" t="s">
        <v>24</v>
      </c>
      <c r="T23" s="10" t="s">
        <v>24</v>
      </c>
      <c r="U23" s="10" t="s">
        <v>24</v>
      </c>
      <c r="V23" s="10" t="s">
        <v>24</v>
      </c>
      <c r="W23" s="10" t="s">
        <v>24</v>
      </c>
      <c r="X23" s="10" t="s">
        <v>24</v>
      </c>
      <c r="Y23" s="11" t="s">
        <v>24</v>
      </c>
      <c r="Z23" s="10" t="s">
        <v>24</v>
      </c>
      <c r="AA23" s="10" t="s">
        <v>24</v>
      </c>
      <c r="AB23" s="10" t="s">
        <v>24</v>
      </c>
      <c r="AC23" s="10" t="s">
        <v>24</v>
      </c>
      <c r="AD23" s="10" t="s">
        <v>24</v>
      </c>
      <c r="AE23" s="10" t="s">
        <v>24</v>
      </c>
      <c r="AF23" s="10" t="s">
        <v>24</v>
      </c>
      <c r="AG23" s="10" t="s">
        <v>24</v>
      </c>
      <c r="AH23" s="10" t="s">
        <v>24</v>
      </c>
      <c r="AI23" s="10" t="s">
        <v>24</v>
      </c>
      <c r="AJ23" s="10" t="s">
        <v>24</v>
      </c>
      <c r="AK23" s="11" t="s">
        <v>24</v>
      </c>
      <c r="AL23" s="10" t="s">
        <v>24</v>
      </c>
      <c r="AM23" s="10" t="s">
        <v>24</v>
      </c>
      <c r="AN23" s="10" t="s">
        <v>24</v>
      </c>
      <c r="AO23" s="10" t="s">
        <v>24</v>
      </c>
      <c r="AP23" s="10" t="s">
        <v>24</v>
      </c>
      <c r="AQ23" s="10" t="s">
        <v>24</v>
      </c>
      <c r="AR23" s="10" t="s">
        <v>24</v>
      </c>
      <c r="AS23" s="10" t="s">
        <v>24</v>
      </c>
      <c r="AT23" s="10" t="s">
        <v>24</v>
      </c>
      <c r="AU23" s="10" t="s">
        <v>24</v>
      </c>
      <c r="AV23" s="10" t="s">
        <v>24</v>
      </c>
      <c r="AW23" s="11" t="s">
        <v>24</v>
      </c>
      <c r="AX23" s="10" t="s">
        <v>24</v>
      </c>
      <c r="AY23" s="10" t="s">
        <v>24</v>
      </c>
      <c r="AZ23" s="10" t="s">
        <v>24</v>
      </c>
      <c r="BA23" s="10" t="s">
        <v>24</v>
      </c>
      <c r="BB23" s="10" t="s">
        <v>24</v>
      </c>
      <c r="BC23" s="10" t="s">
        <v>24</v>
      </c>
      <c r="BD23" s="10" t="s">
        <v>24</v>
      </c>
      <c r="BE23" s="10" t="s">
        <v>24</v>
      </c>
      <c r="BF23" s="10" t="s">
        <v>24</v>
      </c>
      <c r="BG23" s="10" t="s">
        <v>24</v>
      </c>
      <c r="BH23" s="10" t="s">
        <v>24</v>
      </c>
      <c r="BI23" s="11" t="s">
        <v>24</v>
      </c>
      <c r="BJ23" s="10">
        <v>7510.0533620200003</v>
      </c>
      <c r="BK23" s="10">
        <v>7922.6370894400006</v>
      </c>
      <c r="BL23" s="10">
        <v>8562.9067191100003</v>
      </c>
      <c r="BM23" s="10">
        <v>9250.7523060599997</v>
      </c>
      <c r="BN23" s="10">
        <v>10003.157922040002</v>
      </c>
      <c r="BO23" s="10">
        <v>11363.23579658</v>
      </c>
      <c r="BP23" s="10">
        <v>11984.058240799999</v>
      </c>
      <c r="BQ23" s="10">
        <v>13220.293311219999</v>
      </c>
      <c r="BR23" s="10">
        <v>13536.067582399999</v>
      </c>
      <c r="BS23" s="10">
        <v>13116.721871629999</v>
      </c>
      <c r="BT23" s="10">
        <v>13850.87573577</v>
      </c>
      <c r="BU23" s="11">
        <v>13202.60872892</v>
      </c>
      <c r="BV23" s="10">
        <v>14628.20885318</v>
      </c>
      <c r="BW23" s="10">
        <v>13458.09207311</v>
      </c>
      <c r="BX23" s="10">
        <v>12708.49758988</v>
      </c>
      <c r="BY23" s="10">
        <v>14075.633989149999</v>
      </c>
      <c r="BZ23" s="10">
        <v>15146.81024189</v>
      </c>
      <c r="CA23" s="10">
        <v>16892.52307159</v>
      </c>
      <c r="CB23" s="10">
        <v>17412.154680700001</v>
      </c>
      <c r="CC23" s="10">
        <v>17188.966003689999</v>
      </c>
      <c r="CD23" s="10">
        <v>16947.803321539999</v>
      </c>
      <c r="CE23" s="10">
        <v>17804.766631660001</v>
      </c>
      <c r="CF23" s="10">
        <v>19298.926560830001</v>
      </c>
      <c r="CG23" s="11">
        <v>17495.420791700002</v>
      </c>
      <c r="CH23" s="10">
        <v>19136.851493689999</v>
      </c>
      <c r="CI23" s="10">
        <v>17031.965878430001</v>
      </c>
      <c r="CJ23" s="10">
        <v>17048.152259459999</v>
      </c>
      <c r="CK23" s="10">
        <v>18988.35446499</v>
      </c>
      <c r="CL23" s="10">
        <v>19855.22441585</v>
      </c>
      <c r="CM23" s="10">
        <v>23250.689032120001</v>
      </c>
      <c r="CN23" s="10">
        <v>25196.298464750002</v>
      </c>
      <c r="CO23" s="10">
        <v>25903.906923049999</v>
      </c>
    </row>
    <row r="24" spans="1:93" s="12" customFormat="1" ht="11.25" x14ac:dyDescent="0.2">
      <c r="A24" s="9" t="s">
        <v>25</v>
      </c>
      <c r="B24" s="10">
        <v>365.78150142000004</v>
      </c>
      <c r="C24" s="10">
        <v>355.31789688999999</v>
      </c>
      <c r="D24" s="10">
        <v>331.85900062000002</v>
      </c>
      <c r="E24" s="10">
        <v>375.87764013999998</v>
      </c>
      <c r="F24" s="10">
        <v>479.81446431000001</v>
      </c>
      <c r="G24" s="10">
        <v>434.37561068999992</v>
      </c>
      <c r="H24" s="10">
        <v>453.70684523</v>
      </c>
      <c r="I24" s="10">
        <v>424.66148909000003</v>
      </c>
      <c r="J24" s="10">
        <v>441.74726894999998</v>
      </c>
      <c r="K24" s="10">
        <v>451.03448836999996</v>
      </c>
      <c r="L24" s="10">
        <v>447.52591884999998</v>
      </c>
      <c r="M24" s="11">
        <v>410.48910912000002</v>
      </c>
      <c r="N24" s="10">
        <v>505.40902829999999</v>
      </c>
      <c r="O24" s="10">
        <v>522.65023176</v>
      </c>
      <c r="P24" s="10">
        <v>470.88856757000002</v>
      </c>
      <c r="Q24" s="10">
        <v>406.04667161999993</v>
      </c>
      <c r="R24" s="10">
        <v>384.14595051999999</v>
      </c>
      <c r="S24" s="10">
        <v>346.63927738999996</v>
      </c>
      <c r="T24" s="10">
        <v>485.39895390999999</v>
      </c>
      <c r="U24" s="10">
        <v>529.32470568999997</v>
      </c>
      <c r="V24" s="10">
        <v>526.73569105000001</v>
      </c>
      <c r="W24" s="10">
        <v>511.27870337999997</v>
      </c>
      <c r="X24" s="10">
        <v>592.56069626999999</v>
      </c>
      <c r="Y24" s="11">
        <v>606.68108692999999</v>
      </c>
      <c r="Z24" s="10">
        <v>741.74858724000001</v>
      </c>
      <c r="AA24" s="10">
        <v>658.55539035000004</v>
      </c>
      <c r="AB24" s="10">
        <v>685.29408833999992</v>
      </c>
      <c r="AC24" s="10">
        <v>805.30263662000004</v>
      </c>
      <c r="AD24" s="10">
        <v>746.18232164000005</v>
      </c>
      <c r="AE24" s="10">
        <v>824.63391021999996</v>
      </c>
      <c r="AF24" s="10">
        <v>839.38723845000004</v>
      </c>
      <c r="AG24" s="10">
        <v>968.33264163000001</v>
      </c>
      <c r="AH24" s="10">
        <v>990.23529739000003</v>
      </c>
      <c r="AI24" s="10">
        <v>938.20822885000007</v>
      </c>
      <c r="AJ24" s="10">
        <v>950.79206350999993</v>
      </c>
      <c r="AK24" s="11">
        <v>978.08116735999988</v>
      </c>
      <c r="AL24" s="10">
        <v>1203.0410475399999</v>
      </c>
      <c r="AM24" s="10">
        <v>934.67633609999996</v>
      </c>
      <c r="AN24" s="10">
        <v>1044.19015857</v>
      </c>
      <c r="AO24" s="10">
        <v>1294.0155791900002</v>
      </c>
      <c r="AP24" s="10">
        <v>1279.40627997</v>
      </c>
      <c r="AQ24" s="10">
        <v>1432.7503638200001</v>
      </c>
      <c r="AR24" s="10">
        <v>1795.0074689</v>
      </c>
      <c r="AS24" s="10">
        <v>1672.01779547</v>
      </c>
      <c r="AT24" s="10">
        <v>1814.3693820000001</v>
      </c>
      <c r="AU24" s="10">
        <v>1746.1834680700001</v>
      </c>
      <c r="AV24" s="10">
        <v>1997.05455033</v>
      </c>
      <c r="AW24" s="11">
        <v>1999.3770470300003</v>
      </c>
      <c r="AX24" s="10">
        <v>2295.5187570399999</v>
      </c>
      <c r="AY24" s="10">
        <v>2116.8559265599997</v>
      </c>
      <c r="AZ24" s="10">
        <v>2170.8252602500002</v>
      </c>
      <c r="BA24" s="10">
        <v>2752.1988738800001</v>
      </c>
      <c r="BB24" s="10">
        <v>2962.4065664099999</v>
      </c>
      <c r="BC24" s="10">
        <v>3105.2019989200003</v>
      </c>
      <c r="BD24" s="10">
        <v>3513.9762941599997</v>
      </c>
      <c r="BE24" s="10">
        <v>3779.6888767700002</v>
      </c>
      <c r="BF24" s="10">
        <v>4088.2425583999998</v>
      </c>
      <c r="BG24" s="10">
        <v>4711.8361185499998</v>
      </c>
      <c r="BH24" s="10">
        <v>4602.54051996</v>
      </c>
      <c r="BI24" s="11">
        <v>4913.0810620100001</v>
      </c>
      <c r="BJ24" s="10">
        <v>6184.3578931900001</v>
      </c>
      <c r="BK24" s="10">
        <v>5570.5825662799998</v>
      </c>
      <c r="BL24" s="10">
        <v>7300.8990208699997</v>
      </c>
      <c r="BM24" s="10">
        <v>6779.6729803700009</v>
      </c>
      <c r="BN24" s="10">
        <v>8299.3374128800006</v>
      </c>
      <c r="BO24" s="10">
        <v>9237.784823</v>
      </c>
      <c r="BP24" s="10">
        <v>9033.7513261799995</v>
      </c>
      <c r="BQ24" s="10">
        <v>9819.7462857200007</v>
      </c>
      <c r="BR24" s="10">
        <v>10774.339533960001</v>
      </c>
      <c r="BS24" s="10">
        <v>10857.2870656</v>
      </c>
      <c r="BT24" s="10">
        <v>11146.04635991</v>
      </c>
      <c r="BU24" s="11">
        <v>11784.884666810001</v>
      </c>
      <c r="BV24" s="10">
        <v>12457.30268671</v>
      </c>
      <c r="BW24" s="10">
        <v>12171.237030369999</v>
      </c>
      <c r="BX24" s="10">
        <v>10524.442987369999</v>
      </c>
      <c r="BY24" s="10">
        <v>11592.952348680001</v>
      </c>
      <c r="BZ24" s="10">
        <v>13076.63156308</v>
      </c>
      <c r="CA24" s="10">
        <v>12640.15908718</v>
      </c>
      <c r="CB24" s="10">
        <v>13063.70405215</v>
      </c>
      <c r="CC24" s="10">
        <v>14372.116841029998</v>
      </c>
      <c r="CD24" s="10">
        <v>14461.637802880001</v>
      </c>
      <c r="CE24" s="10">
        <v>14356.865480139999</v>
      </c>
      <c r="CF24" s="10">
        <v>13331.692747520001</v>
      </c>
      <c r="CG24" s="11">
        <v>15139.89834697</v>
      </c>
      <c r="CH24" s="10">
        <v>15966.197015760001</v>
      </c>
      <c r="CI24" s="10">
        <v>16443.893940779999</v>
      </c>
      <c r="CJ24" s="10">
        <v>14093.73017264</v>
      </c>
      <c r="CK24" s="10">
        <v>16785.535099680001</v>
      </c>
      <c r="CL24" s="10">
        <v>14835.389293350001</v>
      </c>
      <c r="CM24" s="10">
        <v>15456.100140889999</v>
      </c>
      <c r="CN24" s="10">
        <v>15948.204588620001</v>
      </c>
      <c r="CO24" s="10"/>
    </row>
    <row r="25" spans="1:93" s="12" customFormat="1" ht="11.25" x14ac:dyDescent="0.2">
      <c r="A25" s="9" t="s">
        <v>20</v>
      </c>
      <c r="B25" s="10">
        <v>1573.3914560000001</v>
      </c>
      <c r="C25" s="10">
        <v>1498.5973590000001</v>
      </c>
      <c r="D25" s="10">
        <v>1389.397316</v>
      </c>
      <c r="E25" s="10">
        <v>1490.377831</v>
      </c>
      <c r="F25" s="10">
        <v>1636.607802</v>
      </c>
      <c r="G25" s="10">
        <v>1671.6003149999999</v>
      </c>
      <c r="H25" s="10">
        <v>1760.469445</v>
      </c>
      <c r="I25" s="10">
        <v>1876.96621</v>
      </c>
      <c r="J25" s="10">
        <v>2011.0974859999999</v>
      </c>
      <c r="K25" s="10">
        <v>1951.752207</v>
      </c>
      <c r="L25" s="10">
        <v>2241.6276459999999</v>
      </c>
      <c r="M25" s="11">
        <v>2091.1860459999998</v>
      </c>
      <c r="N25" s="10">
        <v>2122.369631</v>
      </c>
      <c r="O25" s="10">
        <v>2044.046411</v>
      </c>
      <c r="P25" s="10">
        <v>1893.9787100000001</v>
      </c>
      <c r="Q25" s="10">
        <v>1854.464318</v>
      </c>
      <c r="R25" s="10">
        <v>2077.5094819999999</v>
      </c>
      <c r="S25" s="10">
        <v>2352.6792919999998</v>
      </c>
      <c r="T25" s="10">
        <v>2587.5883050000002</v>
      </c>
      <c r="U25" s="10">
        <v>2786.0927980000001</v>
      </c>
      <c r="V25" s="10">
        <v>2828.0988739999998</v>
      </c>
      <c r="W25" s="10">
        <v>2947.8038139999999</v>
      </c>
      <c r="X25" s="10">
        <v>3305.0778789999999</v>
      </c>
      <c r="Y25" s="11">
        <v>3146.806783</v>
      </c>
      <c r="Z25" s="10">
        <v>3471.8497299999999</v>
      </c>
      <c r="AA25" s="10">
        <v>3096.8424439999999</v>
      </c>
      <c r="AB25" s="10">
        <v>3164.2679990000001</v>
      </c>
      <c r="AC25" s="10">
        <v>3653.14</v>
      </c>
      <c r="AD25" s="10">
        <v>3671.1847269999998</v>
      </c>
      <c r="AE25" s="10">
        <v>3914.0273910000001</v>
      </c>
      <c r="AF25" s="10">
        <v>4244.5361709999997</v>
      </c>
      <c r="AG25" s="10">
        <v>4534.3047479999996</v>
      </c>
      <c r="AH25" s="10">
        <v>4668.7120619999996</v>
      </c>
      <c r="AI25" s="10">
        <v>4744.9012819999998</v>
      </c>
      <c r="AJ25" s="10">
        <v>5222.4455809999999</v>
      </c>
      <c r="AK25" s="11">
        <v>5095.5783810000003</v>
      </c>
      <c r="AL25" s="10">
        <v>5497.3747240000002</v>
      </c>
      <c r="AM25" s="10">
        <v>4957.1509109999997</v>
      </c>
      <c r="AN25" s="10">
        <v>5056.0915299999997</v>
      </c>
      <c r="AO25" s="10">
        <v>5935.598618</v>
      </c>
      <c r="AP25" s="10">
        <v>6241.3140400000002</v>
      </c>
      <c r="AQ25" s="10">
        <v>6561.3020349999997</v>
      </c>
      <c r="AR25" s="10">
        <v>7432.2624390000001</v>
      </c>
      <c r="AS25" s="10">
        <v>7780.8786959999998</v>
      </c>
      <c r="AT25" s="10">
        <v>8382.3173490000008</v>
      </c>
      <c r="AU25" s="10">
        <v>8671.8457149999995</v>
      </c>
      <c r="AV25" s="10">
        <v>8993.9667320000008</v>
      </c>
      <c r="AW25" s="11">
        <v>9854.3924370000004</v>
      </c>
      <c r="AX25" s="10">
        <v>10507.425289999999</v>
      </c>
      <c r="AY25" s="10">
        <v>9522.5777990000006</v>
      </c>
      <c r="AZ25" s="10">
        <v>10163.783681999999</v>
      </c>
      <c r="BA25" s="10">
        <v>11965.998618</v>
      </c>
      <c r="BB25" s="10">
        <v>12871.029710999999</v>
      </c>
      <c r="BC25" s="10">
        <v>13899.143328</v>
      </c>
      <c r="BD25" s="10">
        <v>16088.336966000001</v>
      </c>
      <c r="BE25" s="10">
        <v>17202.729963999998</v>
      </c>
      <c r="BF25" s="10">
        <v>19952.855066</v>
      </c>
      <c r="BG25" s="10">
        <v>21921.757998000001</v>
      </c>
      <c r="BH25" s="10">
        <v>25036.195507</v>
      </c>
      <c r="BI25" s="11">
        <v>27407.738708000001</v>
      </c>
      <c r="BJ25" s="10">
        <v>36464.192378</v>
      </c>
      <c r="BK25" s="10">
        <v>34133.260408000002</v>
      </c>
      <c r="BL25" s="10">
        <v>36548.097068000003</v>
      </c>
      <c r="BM25" s="10">
        <v>41762.348694</v>
      </c>
      <c r="BN25" s="10">
        <v>44618.460434000001</v>
      </c>
      <c r="BO25" s="10">
        <v>47910.033434999998</v>
      </c>
      <c r="BP25" s="10">
        <v>50769.803393000002</v>
      </c>
      <c r="BQ25" s="10">
        <v>57040.171853</v>
      </c>
      <c r="BR25" s="10">
        <v>60605.206994</v>
      </c>
      <c r="BS25" s="10">
        <v>57062.018760999999</v>
      </c>
      <c r="BT25" s="10">
        <v>62950.557010999997</v>
      </c>
      <c r="BU25" s="11">
        <v>65358.713511000002</v>
      </c>
      <c r="BV25" s="10">
        <v>67454.340112000005</v>
      </c>
      <c r="BW25" s="10">
        <v>66011.834271</v>
      </c>
      <c r="BX25" s="10">
        <v>61938.838201999999</v>
      </c>
      <c r="BY25" s="10">
        <v>66306.256076999998</v>
      </c>
      <c r="BZ25" s="10">
        <v>75378.776517999999</v>
      </c>
      <c r="CA25" s="10">
        <v>76819.476068999997</v>
      </c>
      <c r="CB25" s="10">
        <v>75949.887917</v>
      </c>
      <c r="CC25" s="10">
        <v>81888.630999000001</v>
      </c>
      <c r="CD25" s="10">
        <v>81160.684017000007</v>
      </c>
      <c r="CE25" s="10">
        <v>81774.353197000004</v>
      </c>
      <c r="CF25" s="10">
        <v>86177.642426999999</v>
      </c>
      <c r="CG25" s="11">
        <v>80906.996299999999</v>
      </c>
      <c r="CH25" s="10">
        <v>88016.266692000005</v>
      </c>
      <c r="CI25" s="10">
        <v>80312.845553000006</v>
      </c>
      <c r="CJ25" s="10">
        <v>77702.767881000007</v>
      </c>
      <c r="CK25" s="10">
        <v>87642.341484999997</v>
      </c>
      <c r="CL25" s="10">
        <v>89826.603099999993</v>
      </c>
      <c r="CM25" s="10">
        <v>93217.063110999996</v>
      </c>
      <c r="CN25" s="10">
        <v>98375.482535000003</v>
      </c>
      <c r="CO25" s="10"/>
    </row>
    <row r="26" spans="1:93" s="12" customFormat="1" ht="12" thickBot="1" x14ac:dyDescent="0.3">
      <c r="A26" s="13" t="s">
        <v>1</v>
      </c>
      <c r="B26" s="14">
        <f t="shared" ref="B26:AG26" si="0">SUM(B2:B25)</f>
        <v>56597.311042040012</v>
      </c>
      <c r="C26" s="15">
        <f t="shared" si="0"/>
        <v>54796.156737629979</v>
      </c>
      <c r="D26" s="15">
        <f t="shared" si="0"/>
        <v>51248.964755590008</v>
      </c>
      <c r="E26" s="15">
        <f t="shared" si="0"/>
        <v>56582.949164999991</v>
      </c>
      <c r="F26" s="15">
        <f t="shared" si="0"/>
        <v>60474.096139639994</v>
      </c>
      <c r="G26" s="15">
        <f t="shared" si="0"/>
        <v>60800.746804130016</v>
      </c>
      <c r="H26" s="15">
        <f t="shared" si="0"/>
        <v>62670.800948870005</v>
      </c>
      <c r="I26" s="15">
        <f t="shared" si="0"/>
        <v>68346.925628679994</v>
      </c>
      <c r="J26" s="15">
        <f t="shared" si="0"/>
        <v>72466.411284379996</v>
      </c>
      <c r="K26" s="15">
        <f t="shared" si="0"/>
        <v>73070.31697273998</v>
      </c>
      <c r="L26" s="15">
        <f t="shared" si="0"/>
        <v>79905.705579119996</v>
      </c>
      <c r="M26" s="16">
        <f t="shared" si="0"/>
        <v>76271.477514890008</v>
      </c>
      <c r="N26" s="14">
        <f t="shared" si="0"/>
        <v>82688.27244731001</v>
      </c>
      <c r="O26" s="15">
        <f t="shared" si="0"/>
        <v>78979.854336569973</v>
      </c>
      <c r="P26" s="15">
        <f t="shared" si="0"/>
        <v>72494.955162099999</v>
      </c>
      <c r="Q26" s="15">
        <f t="shared" si="0"/>
        <v>66229.705993069991</v>
      </c>
      <c r="R26" s="15">
        <f t="shared" si="0"/>
        <v>71080.64114580999</v>
      </c>
      <c r="S26" s="15">
        <f t="shared" si="0"/>
        <v>75782.905949380001</v>
      </c>
      <c r="T26" s="15">
        <f t="shared" si="0"/>
        <v>84500.947167069971</v>
      </c>
      <c r="U26" s="15">
        <f t="shared" si="0"/>
        <v>90719.412703309979</v>
      </c>
      <c r="V26" s="15">
        <f t="shared" si="0"/>
        <v>91771.368279119968</v>
      </c>
      <c r="W26" s="15">
        <f t="shared" si="0"/>
        <v>95888.213069880003</v>
      </c>
      <c r="X26" s="15">
        <f t="shared" si="0"/>
        <v>100065.32222785997</v>
      </c>
      <c r="Y26" s="16">
        <f t="shared" si="0"/>
        <v>103979.69789943</v>
      </c>
      <c r="Z26" s="14">
        <f t="shared" si="0"/>
        <v>119051.99831405001</v>
      </c>
      <c r="AA26" s="15">
        <f t="shared" si="0"/>
        <v>113054.65599264999</v>
      </c>
      <c r="AB26" s="15">
        <f t="shared" si="0"/>
        <v>115841.40986892002</v>
      </c>
      <c r="AC26" s="15">
        <f t="shared" si="0"/>
        <v>131227.76258657002</v>
      </c>
      <c r="AD26" s="15">
        <f t="shared" si="0"/>
        <v>134304.96096104002</v>
      </c>
      <c r="AE26" s="15">
        <f t="shared" si="0"/>
        <v>141610.81821505001</v>
      </c>
      <c r="AF26" s="15">
        <f t="shared" si="0"/>
        <v>148726.57515867997</v>
      </c>
      <c r="AG26" s="15">
        <f t="shared" si="0"/>
        <v>151409.77551064998</v>
      </c>
      <c r="AH26" s="15">
        <f t="shared" ref="AH26:CO26" si="1">SUM(AH2:AH25)</f>
        <v>158031.00327555003</v>
      </c>
      <c r="AI26" s="15">
        <f t="shared" si="1"/>
        <v>166225.97402282001</v>
      </c>
      <c r="AJ26" s="15">
        <f t="shared" si="1"/>
        <v>179567.35118415995</v>
      </c>
      <c r="AK26" s="16">
        <f t="shared" si="1"/>
        <v>185007.31153745003</v>
      </c>
      <c r="AL26" s="14">
        <f t="shared" si="1"/>
        <v>195262.11088446001</v>
      </c>
      <c r="AM26" s="15">
        <f t="shared" si="1"/>
        <v>181326.30911384994</v>
      </c>
      <c r="AN26" s="15">
        <f t="shared" si="1"/>
        <v>190248.32925658004</v>
      </c>
      <c r="AO26" s="15">
        <f t="shared" si="1"/>
        <v>220542.16427021992</v>
      </c>
      <c r="AP26" s="15">
        <f t="shared" si="1"/>
        <v>236787.53453787003</v>
      </c>
      <c r="AQ26" s="15">
        <f t="shared" si="1"/>
        <v>254979.73321975998</v>
      </c>
      <c r="AR26" s="15">
        <f t="shared" si="1"/>
        <v>285405.24787776999</v>
      </c>
      <c r="AS26" s="15">
        <f t="shared" si="1"/>
        <v>293088.97479255998</v>
      </c>
      <c r="AT26" s="15">
        <f t="shared" si="1"/>
        <v>318930.62715849001</v>
      </c>
      <c r="AU26" s="15">
        <f t="shared" si="1"/>
        <v>336434.02717202995</v>
      </c>
      <c r="AV26" s="15">
        <f t="shared" si="1"/>
        <v>347245.61064614012</v>
      </c>
      <c r="AW26" s="16">
        <f t="shared" si="1"/>
        <v>367470.47343523998</v>
      </c>
      <c r="AX26" s="14">
        <f t="shared" si="1"/>
        <v>413429.32427260984</v>
      </c>
      <c r="AY26" s="15">
        <f t="shared" si="1"/>
        <v>386482.02152362984</v>
      </c>
      <c r="AZ26" s="15">
        <f t="shared" si="1"/>
        <v>417736.85255593993</v>
      </c>
      <c r="BA26" s="15">
        <f t="shared" si="1"/>
        <v>480116.94486587989</v>
      </c>
      <c r="BB26" s="15">
        <f t="shared" si="1"/>
        <v>526990.75988406979</v>
      </c>
      <c r="BC26" s="15">
        <f t="shared" si="1"/>
        <v>575864.42292389949</v>
      </c>
      <c r="BD26" s="15">
        <f t="shared" si="1"/>
        <v>644686.5969325098</v>
      </c>
      <c r="BE26" s="15">
        <f t="shared" si="1"/>
        <v>702745.68234921922</v>
      </c>
      <c r="BF26" s="15">
        <f t="shared" si="1"/>
        <v>805257.51204094919</v>
      </c>
      <c r="BG26" s="15">
        <f t="shared" si="1"/>
        <v>903919.85715210938</v>
      </c>
      <c r="BH26" s="15">
        <f t="shared" si="1"/>
        <v>981787.44043902983</v>
      </c>
      <c r="BI26" s="16">
        <f t="shared" si="1"/>
        <v>1057167.1133848196</v>
      </c>
      <c r="BJ26" s="14">
        <f t="shared" si="1"/>
        <v>1442394.1255875423</v>
      </c>
      <c r="BK26" s="15">
        <f t="shared" si="1"/>
        <v>1553083.0391938449</v>
      </c>
      <c r="BL26" s="15">
        <f t="shared" si="1"/>
        <v>1769091.4809951652</v>
      </c>
      <c r="BM26" s="15">
        <f t="shared" si="1"/>
        <v>1790267.4709640036</v>
      </c>
      <c r="BN26" s="15">
        <f t="shared" si="1"/>
        <v>1834958.8208699827</v>
      </c>
      <c r="BO26" s="15">
        <f t="shared" si="1"/>
        <v>1930891.6853736348</v>
      </c>
      <c r="BP26" s="15">
        <f t="shared" si="1"/>
        <v>1972957.4475690622</v>
      </c>
      <c r="BQ26" s="15">
        <f t="shared" si="1"/>
        <v>2138734.3708576947</v>
      </c>
      <c r="BR26" s="15">
        <f t="shared" si="1"/>
        <v>2213813.2979372288</v>
      </c>
      <c r="BS26" s="15">
        <f t="shared" si="1"/>
        <v>2232411.1705734441</v>
      </c>
      <c r="BT26" s="15">
        <f t="shared" si="1"/>
        <v>2343176.8220755546</v>
      </c>
      <c r="BU26" s="16">
        <f t="shared" si="1"/>
        <v>2347959.970084595</v>
      </c>
      <c r="BV26" s="14">
        <f t="shared" si="1"/>
        <v>2526895.8991827192</v>
      </c>
      <c r="BW26" s="15">
        <f t="shared" si="1"/>
        <v>2443911.0810804917</v>
      </c>
      <c r="BX26" s="15">
        <f t="shared" si="1"/>
        <v>2296746.1812019697</v>
      </c>
      <c r="BY26" s="15">
        <f t="shared" si="1"/>
        <v>2501463.7711891504</v>
      </c>
      <c r="BZ26" s="15">
        <f t="shared" si="1"/>
        <v>2714190.7684043339</v>
      </c>
      <c r="CA26" s="15">
        <f t="shared" si="1"/>
        <v>2714314.3168962407</v>
      </c>
      <c r="CB26" s="15">
        <f t="shared" si="1"/>
        <v>2815873.7961673099</v>
      </c>
      <c r="CC26" s="15">
        <f t="shared" si="1"/>
        <v>2994734.7719045477</v>
      </c>
      <c r="CD26" s="15">
        <f t="shared" si="1"/>
        <v>3006381.0883254395</v>
      </c>
      <c r="CE26" s="15">
        <f t="shared" si="1"/>
        <v>3128216.1178769488</v>
      </c>
      <c r="CF26" s="15">
        <f t="shared" si="1"/>
        <v>3065686.4744565464</v>
      </c>
      <c r="CG26" s="16">
        <f t="shared" si="1"/>
        <v>3161446.1372942645</v>
      </c>
      <c r="CH26" s="14">
        <f>SUM(CH2:CH25)</f>
        <v>3370271.490147498</v>
      </c>
      <c r="CI26" s="15">
        <f t="shared" si="1"/>
        <v>3067349.5236826004</v>
      </c>
      <c r="CJ26" s="15">
        <f t="shared" si="1"/>
        <v>2928384.0221402263</v>
      </c>
      <c r="CK26" s="15">
        <f t="shared" si="1"/>
        <v>3283068.2433635746</v>
      </c>
      <c r="CL26" s="15">
        <f t="shared" si="1"/>
        <v>3346156.2679884201</v>
      </c>
      <c r="CM26" s="15">
        <f t="shared" si="1"/>
        <v>3470418.6860587047</v>
      </c>
      <c r="CN26" s="15">
        <f t="shared" si="1"/>
        <v>3277781.5909536602</v>
      </c>
      <c r="CO26" s="15">
        <f t="shared" si="1"/>
        <v>1688030.8350110597</v>
      </c>
    </row>
    <row r="27" spans="1:93" ht="12" thickTop="1" x14ac:dyDescent="0.25">
      <c r="A27" s="9"/>
      <c r="B27" s="17"/>
      <c r="C27" s="17"/>
      <c r="D27" s="17"/>
      <c r="E27" s="12"/>
      <c r="F27" s="12"/>
      <c r="G27" s="12"/>
      <c r="H27" s="12"/>
      <c r="N27" s="17"/>
      <c r="O27" s="17"/>
      <c r="P27" s="17"/>
      <c r="Q27" s="12"/>
      <c r="R27" s="12"/>
      <c r="S27" s="12"/>
      <c r="T27" s="12"/>
      <c r="Z27" s="17"/>
      <c r="AA27" s="17"/>
      <c r="AB27" s="17"/>
      <c r="AC27" s="12"/>
      <c r="AD27" s="12"/>
      <c r="AE27" s="12"/>
      <c r="AF27" s="12"/>
      <c r="AL27" s="17"/>
      <c r="AM27" s="17"/>
      <c r="AN27" s="17"/>
      <c r="AO27" s="12"/>
      <c r="AP27" s="12"/>
      <c r="AQ27" s="12"/>
      <c r="AR27" s="12"/>
      <c r="AX27" s="17"/>
      <c r="AY27" s="17"/>
      <c r="AZ27" s="17"/>
      <c r="BA27" s="12"/>
      <c r="BB27" s="12"/>
      <c r="BC27" s="12"/>
      <c r="BD27" s="12"/>
      <c r="BJ27" s="17"/>
      <c r="BK27" s="17"/>
      <c r="BL27" s="17"/>
      <c r="BM27" s="12"/>
      <c r="BN27" s="12"/>
      <c r="BO27" s="12"/>
      <c r="BP27" s="12"/>
      <c r="BV27" s="17"/>
      <c r="BW27" s="17"/>
      <c r="BX27" s="17"/>
      <c r="BY27" s="12"/>
      <c r="BZ27" s="12"/>
      <c r="CA27" s="12"/>
      <c r="CB27" s="12"/>
      <c r="CH27" s="17"/>
      <c r="CI27" s="17"/>
      <c r="CJ27" s="17"/>
      <c r="CK27" s="12"/>
      <c r="CL27" s="12"/>
      <c r="CM27" s="12"/>
      <c r="CN27" s="12"/>
      <c r="CO27" s="12"/>
    </row>
    <row r="28" spans="1:93" ht="10.5" customHeight="1" x14ac:dyDescent="0.25">
      <c r="A28" s="23" t="s">
        <v>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F153-B2D7-47A2-A55F-A7B389FD72A1}">
  <dimension ref="A1:CO29"/>
  <sheetViews>
    <sheetView workbookViewId="0">
      <pane xSplit="1" ySplit="1" topLeftCell="BX3" activePane="bottomRight" state="frozen"/>
      <selection pane="topRight" activeCell="B1" sqref="B1"/>
      <selection pane="bottomLeft" activeCell="A2" sqref="A2"/>
      <selection pane="bottomRight" activeCell="CM22" sqref="CM22"/>
    </sheetView>
  </sheetViews>
  <sheetFormatPr baseColWidth="10" defaultColWidth="11.5703125" defaultRowHeight="11.25" x14ac:dyDescent="0.25"/>
  <cols>
    <col min="1" max="1" width="15" style="20" bestFit="1" customWidth="1"/>
    <col min="2" max="11" width="7" style="8" bestFit="1" customWidth="1"/>
    <col min="12" max="12" width="7.85546875" style="8" bestFit="1" customWidth="1"/>
    <col min="13" max="13" width="7" style="8" bestFit="1" customWidth="1"/>
    <col min="14" max="16" width="7.85546875" style="8" bestFit="1" customWidth="1"/>
    <col min="17" max="18" width="7" style="8" bestFit="1" customWidth="1"/>
    <col min="19" max="58" width="7.85546875" style="8" bestFit="1" customWidth="1"/>
    <col min="59" max="93" width="9.140625" style="8" bestFit="1" customWidth="1"/>
    <col min="94" max="16384" width="11.5703125" style="8"/>
  </cols>
  <sheetData>
    <row r="1" spans="1:93" x14ac:dyDescent="0.25">
      <c r="A1" s="4" t="s">
        <v>0</v>
      </c>
      <c r="B1" s="5">
        <v>43466</v>
      </c>
      <c r="C1" s="6">
        <v>43497</v>
      </c>
      <c r="D1" s="6">
        <v>43525</v>
      </c>
      <c r="E1" s="6">
        <v>43556</v>
      </c>
      <c r="F1" s="6">
        <v>43586</v>
      </c>
      <c r="G1" s="6">
        <v>43617</v>
      </c>
      <c r="H1" s="6">
        <v>43647</v>
      </c>
      <c r="I1" s="6">
        <v>43678</v>
      </c>
      <c r="J1" s="6">
        <v>43709</v>
      </c>
      <c r="K1" s="6">
        <v>43739</v>
      </c>
      <c r="L1" s="6">
        <v>43770</v>
      </c>
      <c r="M1" s="7">
        <v>43800</v>
      </c>
      <c r="N1" s="5">
        <v>43831</v>
      </c>
      <c r="O1" s="6">
        <v>43862</v>
      </c>
      <c r="P1" s="6">
        <v>43891</v>
      </c>
      <c r="Q1" s="6">
        <v>43922</v>
      </c>
      <c r="R1" s="6">
        <v>43952</v>
      </c>
      <c r="S1" s="6">
        <v>43983</v>
      </c>
      <c r="T1" s="6">
        <v>44013</v>
      </c>
      <c r="U1" s="6">
        <v>44044</v>
      </c>
      <c r="V1" s="6">
        <v>44075</v>
      </c>
      <c r="W1" s="6">
        <v>44105</v>
      </c>
      <c r="X1" s="6">
        <v>44136</v>
      </c>
      <c r="Y1" s="7">
        <v>44166</v>
      </c>
      <c r="Z1" s="5">
        <v>44197</v>
      </c>
      <c r="AA1" s="6">
        <v>44228</v>
      </c>
      <c r="AB1" s="6">
        <v>44256</v>
      </c>
      <c r="AC1" s="6">
        <v>44287</v>
      </c>
      <c r="AD1" s="6">
        <v>44317</v>
      </c>
      <c r="AE1" s="6">
        <v>44348</v>
      </c>
      <c r="AF1" s="6">
        <v>44378</v>
      </c>
      <c r="AG1" s="6">
        <v>44409</v>
      </c>
      <c r="AH1" s="6">
        <v>44440</v>
      </c>
      <c r="AI1" s="6">
        <v>44470</v>
      </c>
      <c r="AJ1" s="6">
        <v>44501</v>
      </c>
      <c r="AK1" s="7">
        <v>44531</v>
      </c>
      <c r="AL1" s="5">
        <v>44562</v>
      </c>
      <c r="AM1" s="6">
        <v>44593</v>
      </c>
      <c r="AN1" s="6">
        <v>44621</v>
      </c>
      <c r="AO1" s="6">
        <v>44652</v>
      </c>
      <c r="AP1" s="6">
        <v>44682</v>
      </c>
      <c r="AQ1" s="6">
        <v>44713</v>
      </c>
      <c r="AR1" s="6">
        <v>44743</v>
      </c>
      <c r="AS1" s="6">
        <v>44774</v>
      </c>
      <c r="AT1" s="6">
        <v>44805</v>
      </c>
      <c r="AU1" s="6">
        <v>44835</v>
      </c>
      <c r="AV1" s="6">
        <v>44866</v>
      </c>
      <c r="AW1" s="7">
        <v>44896</v>
      </c>
      <c r="AX1" s="5">
        <v>44927</v>
      </c>
      <c r="AY1" s="6">
        <v>44958</v>
      </c>
      <c r="AZ1" s="6">
        <v>44986</v>
      </c>
      <c r="BA1" s="6">
        <v>45017</v>
      </c>
      <c r="BB1" s="6">
        <v>45047</v>
      </c>
      <c r="BC1" s="6">
        <v>45078</v>
      </c>
      <c r="BD1" s="6">
        <v>45108</v>
      </c>
      <c r="BE1" s="6">
        <v>45139</v>
      </c>
      <c r="BF1" s="6">
        <v>45170</v>
      </c>
      <c r="BG1" s="6">
        <v>45200</v>
      </c>
      <c r="BH1" s="6">
        <v>45231</v>
      </c>
      <c r="BI1" s="7">
        <v>45261</v>
      </c>
      <c r="BJ1" s="5">
        <v>45292</v>
      </c>
      <c r="BK1" s="6">
        <v>45323</v>
      </c>
      <c r="BL1" s="6">
        <v>45352</v>
      </c>
      <c r="BM1" s="6">
        <v>45383</v>
      </c>
      <c r="BN1" s="6">
        <v>45413</v>
      </c>
      <c r="BO1" s="6">
        <v>45444</v>
      </c>
      <c r="BP1" s="6">
        <v>45474</v>
      </c>
      <c r="BQ1" s="6">
        <v>45505</v>
      </c>
      <c r="BR1" s="6">
        <v>45536</v>
      </c>
      <c r="BS1" s="6">
        <v>45566</v>
      </c>
      <c r="BT1" s="6">
        <v>45597</v>
      </c>
      <c r="BU1" s="7">
        <v>45627</v>
      </c>
      <c r="BV1" s="5">
        <v>45658</v>
      </c>
      <c r="BW1" s="6">
        <v>45689</v>
      </c>
      <c r="BX1" s="6">
        <v>45717</v>
      </c>
      <c r="BY1" s="6">
        <v>45748</v>
      </c>
      <c r="BZ1" s="6">
        <v>45778</v>
      </c>
      <c r="CA1" s="6">
        <v>45809</v>
      </c>
      <c r="CB1" s="6">
        <v>45839</v>
      </c>
      <c r="CC1" s="6">
        <v>45870</v>
      </c>
      <c r="CD1" s="6">
        <v>45901</v>
      </c>
      <c r="CE1" s="6">
        <v>45931</v>
      </c>
      <c r="CF1" s="6">
        <v>45962</v>
      </c>
      <c r="CG1" s="7">
        <v>45992</v>
      </c>
      <c r="CH1" s="5">
        <v>46023</v>
      </c>
      <c r="CI1" s="6">
        <v>46054</v>
      </c>
      <c r="CJ1" s="6">
        <v>46082</v>
      </c>
      <c r="CK1" s="6">
        <v>46113</v>
      </c>
      <c r="CL1" s="6">
        <v>46143</v>
      </c>
      <c r="CM1" s="6">
        <v>46174</v>
      </c>
      <c r="CN1" s="6">
        <v>46204</v>
      </c>
      <c r="CO1" s="6">
        <v>46235</v>
      </c>
    </row>
    <row r="2" spans="1:93" s="12" customFormat="1" x14ac:dyDescent="0.2">
      <c r="A2" s="9" t="s">
        <v>4</v>
      </c>
      <c r="B2" s="10">
        <v>1226.5471346700001</v>
      </c>
      <c r="C2" s="10">
        <v>4704.8496299400003</v>
      </c>
      <c r="D2" s="10">
        <v>3511.52302465</v>
      </c>
      <c r="E2" s="10">
        <v>2481.6350000000002</v>
      </c>
      <c r="F2" s="10">
        <v>1273.472</v>
      </c>
      <c r="G2" s="10">
        <v>4345.5159999999996</v>
      </c>
      <c r="H2" s="10">
        <v>1185.2639999999999</v>
      </c>
      <c r="I2" s="10">
        <v>2387.1680000000001</v>
      </c>
      <c r="J2" s="10">
        <v>3054.3850000000002</v>
      </c>
      <c r="K2" s="10">
        <v>2224.6060000000002</v>
      </c>
      <c r="L2" s="10">
        <v>2941.94</v>
      </c>
      <c r="M2" s="11">
        <v>567.61251992999996</v>
      </c>
      <c r="N2" s="10">
        <v>511.55720036999998</v>
      </c>
      <c r="O2" s="10">
        <v>4310.9525983700005</v>
      </c>
      <c r="P2" s="10">
        <v>6500.6297571999985</v>
      </c>
      <c r="Q2" s="10">
        <v>3763.0259999999998</v>
      </c>
      <c r="R2" s="10">
        <v>2253.723</v>
      </c>
      <c r="S2" s="10">
        <v>6441.2169999999996</v>
      </c>
      <c r="T2" s="10">
        <v>931.31200000000001</v>
      </c>
      <c r="U2" s="10">
        <v>3236.2489999999998</v>
      </c>
      <c r="V2" s="10">
        <v>4516.0910000000003</v>
      </c>
      <c r="W2" s="10">
        <v>3358.1170000000002</v>
      </c>
      <c r="X2" s="10">
        <v>4762.3130000000001</v>
      </c>
      <c r="Y2" s="11">
        <v>1574.4780000000001</v>
      </c>
      <c r="Z2" s="10">
        <v>909.77780394999991</v>
      </c>
      <c r="AA2" s="10">
        <v>9834.0418363999997</v>
      </c>
      <c r="AB2" s="10">
        <v>8216.2523194400019</v>
      </c>
      <c r="AC2" s="10">
        <v>5720.817</v>
      </c>
      <c r="AD2" s="10">
        <v>2187.2779999999998</v>
      </c>
      <c r="AE2" s="10">
        <v>10453.338</v>
      </c>
      <c r="AF2" s="10">
        <v>1781.7470000000001</v>
      </c>
      <c r="AG2" s="10">
        <v>5268.0799896899998</v>
      </c>
      <c r="AH2" s="10">
        <v>6162.7719999999999</v>
      </c>
      <c r="AI2" s="10">
        <v>4702.0690000000004</v>
      </c>
      <c r="AJ2" s="10">
        <v>6012.9660000000003</v>
      </c>
      <c r="AK2" s="11">
        <v>1374.165</v>
      </c>
      <c r="AL2" s="10">
        <v>1063.6567856700001</v>
      </c>
      <c r="AM2" s="10">
        <v>15602.851942220001</v>
      </c>
      <c r="AN2" s="10">
        <v>12430.073442100002</v>
      </c>
      <c r="AO2" s="10">
        <v>8324.9294855700009</v>
      </c>
      <c r="AP2" s="10">
        <v>3668.5386492300004</v>
      </c>
      <c r="AQ2" s="10">
        <v>14756.541147050002</v>
      </c>
      <c r="AR2" s="10">
        <v>2777.0352687099999</v>
      </c>
      <c r="AS2" s="10">
        <v>9506.2153004100001</v>
      </c>
      <c r="AT2" s="10">
        <v>9130.7026799100004</v>
      </c>
      <c r="AU2" s="10">
        <v>8506.9931808430156</v>
      </c>
      <c r="AV2" s="10">
        <v>8644.3045363720812</v>
      </c>
      <c r="AW2" s="11">
        <v>2061.3563003749696</v>
      </c>
      <c r="AX2" s="10">
        <v>1672.7715565451319</v>
      </c>
      <c r="AY2" s="10">
        <v>24845.654307680812</v>
      </c>
      <c r="AZ2" s="10">
        <v>21139.944924501804</v>
      </c>
      <c r="BA2" s="10">
        <v>14307.586942740805</v>
      </c>
      <c r="BB2" s="10">
        <v>5006.6653348056361</v>
      </c>
      <c r="BC2" s="10">
        <v>24506.468345291352</v>
      </c>
      <c r="BD2" s="10">
        <v>5034.1535737817103</v>
      </c>
      <c r="BE2" s="10">
        <v>15558.263587203779</v>
      </c>
      <c r="BF2" s="10">
        <v>13524.049288047629</v>
      </c>
      <c r="BG2" s="10">
        <v>13986.146333652108</v>
      </c>
      <c r="BH2" s="10">
        <v>13231.454238254617</v>
      </c>
      <c r="BI2" s="11">
        <v>3735.9164452902555</v>
      </c>
      <c r="BJ2" s="10">
        <v>3911.4415876267049</v>
      </c>
      <c r="BK2" s="10">
        <v>78954.516721623251</v>
      </c>
      <c r="BL2" s="10">
        <v>65039.332573111729</v>
      </c>
      <c r="BM2" s="10">
        <v>73853.09171612504</v>
      </c>
      <c r="BN2" s="10">
        <v>15645.712746628866</v>
      </c>
      <c r="BO2" s="10">
        <v>107363.78844435935</v>
      </c>
      <c r="BP2" s="10">
        <v>24355.806378163372</v>
      </c>
      <c r="BQ2" s="10">
        <v>77415.282391006651</v>
      </c>
      <c r="BR2" s="10">
        <v>62412.815152494884</v>
      </c>
      <c r="BS2" s="10">
        <v>113055.37049493437</v>
      </c>
      <c r="BT2" s="10">
        <v>92181.564278473685</v>
      </c>
      <c r="BU2" s="11">
        <v>18781.576095194527</v>
      </c>
      <c r="BV2" s="10">
        <v>12069.026745774883</v>
      </c>
      <c r="BW2" s="10">
        <v>21758.626365725806</v>
      </c>
      <c r="BX2" s="10">
        <v>122406.77172990215</v>
      </c>
      <c r="BY2" s="10">
        <v>77794.235947354842</v>
      </c>
      <c r="BZ2" s="10">
        <v>65141.946070712322</v>
      </c>
      <c r="CA2" s="10">
        <v>92547.706114783839</v>
      </c>
      <c r="CB2" s="10">
        <v>31422.985921965017</v>
      </c>
      <c r="CC2" s="10">
        <v>63487.423689494914</v>
      </c>
      <c r="CD2" s="10">
        <v>57873.959013466214</v>
      </c>
      <c r="CE2" s="10">
        <v>27281.368123828775</v>
      </c>
      <c r="CF2" s="10">
        <v>71790.474852316867</v>
      </c>
      <c r="CG2" s="11">
        <v>90856.7978486543</v>
      </c>
      <c r="CH2" s="10">
        <v>26695.321542420672</v>
      </c>
      <c r="CI2" s="10">
        <v>177086.64478417134</v>
      </c>
      <c r="CJ2" s="10">
        <v>129891.38239586934</v>
      </c>
      <c r="CK2" s="10">
        <v>96687.897220795378</v>
      </c>
      <c r="CL2" s="10">
        <v>30836.735209690192</v>
      </c>
      <c r="CM2" s="10">
        <v>150011.96770128442</v>
      </c>
      <c r="CN2" s="10">
        <v>31286.510499144773</v>
      </c>
      <c r="CO2" s="10"/>
    </row>
    <row r="3" spans="1:93" s="12" customFormat="1" x14ac:dyDescent="0.2">
      <c r="A3" s="9" t="s">
        <v>2</v>
      </c>
      <c r="B3" s="10">
        <v>3373.1</v>
      </c>
      <c r="C3" s="10">
        <v>1737.7</v>
      </c>
      <c r="D3" s="10">
        <v>1585.6</v>
      </c>
      <c r="E3" s="10">
        <v>1556.1</v>
      </c>
      <c r="F3" s="10">
        <v>1679.2</v>
      </c>
      <c r="G3" s="10">
        <v>1507.6</v>
      </c>
      <c r="H3" s="10">
        <v>1693.3</v>
      </c>
      <c r="I3" s="10">
        <v>1561</v>
      </c>
      <c r="J3" s="10">
        <v>1580.4</v>
      </c>
      <c r="K3" s="10">
        <v>1625.5</v>
      </c>
      <c r="L3" s="10">
        <v>1529.7</v>
      </c>
      <c r="M3" s="11">
        <v>1436.5</v>
      </c>
      <c r="N3" s="10">
        <v>4682.3999999999996</v>
      </c>
      <c r="O3" s="10">
        <v>2703</v>
      </c>
      <c r="P3" s="10">
        <v>1622.3</v>
      </c>
      <c r="Q3" s="10">
        <v>1369.3</v>
      </c>
      <c r="R3" s="10">
        <v>1535.3</v>
      </c>
      <c r="S3" s="10">
        <v>1739.1</v>
      </c>
      <c r="T3" s="10">
        <v>1735.5</v>
      </c>
      <c r="U3" s="10">
        <v>1727.6</v>
      </c>
      <c r="V3" s="10">
        <v>1909</v>
      </c>
      <c r="W3" s="10">
        <v>1981.7</v>
      </c>
      <c r="X3" s="10">
        <v>1954.7</v>
      </c>
      <c r="Y3" s="11">
        <v>2250.1</v>
      </c>
      <c r="Z3" s="10">
        <v>5719.3</v>
      </c>
      <c r="AA3" s="10">
        <v>3034.3</v>
      </c>
      <c r="AB3" s="10">
        <v>2874.3</v>
      </c>
      <c r="AC3" s="10">
        <v>2644</v>
      </c>
      <c r="AD3" s="10">
        <v>2469.4</v>
      </c>
      <c r="AE3" s="10">
        <v>3086</v>
      </c>
      <c r="AF3" s="10">
        <v>3028.3</v>
      </c>
      <c r="AG3" s="10">
        <v>3103.3</v>
      </c>
      <c r="AH3" s="10">
        <v>3304.2</v>
      </c>
      <c r="AI3" s="10">
        <v>2936.4</v>
      </c>
      <c r="AJ3" s="10">
        <v>3166.5</v>
      </c>
      <c r="AK3" s="11">
        <v>4304.3999999999996</v>
      </c>
      <c r="AL3" s="10">
        <v>8090</v>
      </c>
      <c r="AM3" s="10">
        <v>4328.1000000000004</v>
      </c>
      <c r="AN3" s="10">
        <v>3780</v>
      </c>
      <c r="AO3" s="10">
        <v>3748.1</v>
      </c>
      <c r="AP3" s="10">
        <v>3925</v>
      </c>
      <c r="AQ3" s="10">
        <v>4120.2</v>
      </c>
      <c r="AR3" s="10">
        <v>4587</v>
      </c>
      <c r="AS3" s="10">
        <v>4842.7</v>
      </c>
      <c r="AT3" s="10">
        <v>4830.1000000000004</v>
      </c>
      <c r="AU3" s="10">
        <v>4675.8999999999996</v>
      </c>
      <c r="AV3" s="10">
        <v>5203.3999999999996</v>
      </c>
      <c r="AW3" s="11">
        <v>6943.8</v>
      </c>
      <c r="AX3" s="10">
        <v>14950.6</v>
      </c>
      <c r="AY3" s="10">
        <v>7524.9</v>
      </c>
      <c r="AZ3" s="10">
        <v>6565.4</v>
      </c>
      <c r="BA3" s="10">
        <v>6600.6</v>
      </c>
      <c r="BB3" s="10">
        <v>8396.7000000000007</v>
      </c>
      <c r="BC3" s="10">
        <v>8118.7</v>
      </c>
      <c r="BD3" s="10">
        <v>8950.9</v>
      </c>
      <c r="BE3" s="10">
        <v>9402.4</v>
      </c>
      <c r="BF3" s="10">
        <v>9629.7000000000007</v>
      </c>
      <c r="BG3" s="10">
        <v>11203.8</v>
      </c>
      <c r="BH3" s="10">
        <v>11203.6</v>
      </c>
      <c r="BI3" s="11">
        <v>16275.1</v>
      </c>
      <c r="BJ3" s="10">
        <v>36979.300000000003</v>
      </c>
      <c r="BK3" s="10">
        <v>20911.900000000001</v>
      </c>
      <c r="BL3" s="10">
        <v>15685.7</v>
      </c>
      <c r="BM3" s="10">
        <v>18935.599999999999</v>
      </c>
      <c r="BN3" s="10">
        <v>22921.9</v>
      </c>
      <c r="BO3" s="10">
        <v>22576.1</v>
      </c>
      <c r="BP3" s="10">
        <v>31399.5</v>
      </c>
      <c r="BQ3" s="10">
        <v>34911.800000000003</v>
      </c>
      <c r="BR3" s="10">
        <v>40088</v>
      </c>
      <c r="BS3" s="10">
        <v>41232.400000000001</v>
      </c>
      <c r="BT3" s="10">
        <v>39735</v>
      </c>
      <c r="BU3" s="11">
        <v>39209.199999999997</v>
      </c>
      <c r="BV3" s="10">
        <v>53403.6</v>
      </c>
      <c r="BW3" s="10">
        <v>56977.9</v>
      </c>
      <c r="BX3" s="10">
        <v>46971.6</v>
      </c>
      <c r="BY3" s="10">
        <v>100360.2</v>
      </c>
      <c r="BZ3" s="10">
        <v>75660</v>
      </c>
      <c r="CA3" s="10">
        <v>58955.199999999997</v>
      </c>
      <c r="CB3" s="10">
        <v>70777.899999999994</v>
      </c>
      <c r="CC3" s="10">
        <v>65465.1</v>
      </c>
      <c r="CD3" s="10">
        <v>68754.899999999994</v>
      </c>
      <c r="CE3" s="10">
        <v>71976.2</v>
      </c>
      <c r="CF3" s="10">
        <v>68191.3</v>
      </c>
      <c r="CG3" s="11">
        <v>70997.3</v>
      </c>
      <c r="CH3" s="10">
        <v>184080.8</v>
      </c>
      <c r="CI3" s="10">
        <v>67615.7</v>
      </c>
      <c r="CJ3" s="10">
        <v>67899.100000000006</v>
      </c>
      <c r="CK3" s="10">
        <v>70713.5</v>
      </c>
      <c r="CL3" s="10">
        <v>78150.3</v>
      </c>
      <c r="CM3" s="10">
        <v>76143.3</v>
      </c>
      <c r="CN3" s="10">
        <v>80207.5</v>
      </c>
      <c r="CO3" s="10">
        <v>78469.100000000006</v>
      </c>
    </row>
    <row r="4" spans="1:93" s="12" customFormat="1" x14ac:dyDescent="0.2">
      <c r="A4" s="9" t="s">
        <v>23</v>
      </c>
      <c r="B4" s="10">
        <v>3.8117109600000001</v>
      </c>
      <c r="C4" s="10">
        <v>11.365121820000001</v>
      </c>
      <c r="D4" s="10">
        <v>26.50807644</v>
      </c>
      <c r="E4" s="10">
        <v>12.946</v>
      </c>
      <c r="F4" s="10">
        <v>10.262877570000001</v>
      </c>
      <c r="G4" s="10">
        <v>6.9107145399999999</v>
      </c>
      <c r="H4" s="10">
        <v>8.6177619799999992</v>
      </c>
      <c r="I4" s="10">
        <v>7.2623825699999998</v>
      </c>
      <c r="J4" s="10">
        <v>6.2719868700000001</v>
      </c>
      <c r="K4" s="10">
        <v>4.98055585</v>
      </c>
      <c r="L4" s="10">
        <v>4.73013935</v>
      </c>
      <c r="M4" s="11">
        <v>5.7880267699999992</v>
      </c>
      <c r="N4" s="10">
        <v>7.3038992800000004</v>
      </c>
      <c r="O4" s="10">
        <v>16.81437232</v>
      </c>
      <c r="P4" s="10">
        <v>20.9242609</v>
      </c>
      <c r="Q4" s="10">
        <v>13.76150436</v>
      </c>
      <c r="R4" s="10">
        <v>15.363776119999999</v>
      </c>
      <c r="S4" s="10">
        <v>15.93954501</v>
      </c>
      <c r="T4" s="10">
        <v>10.442073949999999</v>
      </c>
      <c r="U4" s="10">
        <v>8.3316474599999992</v>
      </c>
      <c r="V4" s="10">
        <v>8.7392879899999993</v>
      </c>
      <c r="W4" s="10">
        <v>7.9472740899999996</v>
      </c>
      <c r="X4" s="10">
        <v>6.2047367400000004</v>
      </c>
      <c r="Y4" s="11">
        <v>7.2991347199999996</v>
      </c>
      <c r="Z4" s="10">
        <v>5.8644667899999998</v>
      </c>
      <c r="AA4" s="10">
        <v>18.55477964</v>
      </c>
      <c r="AB4" s="10">
        <v>35.421999999999997</v>
      </c>
      <c r="AC4" s="10">
        <v>21.550999999999998</v>
      </c>
      <c r="AD4" s="10">
        <v>27.89636943</v>
      </c>
      <c r="AE4" s="10">
        <v>17.1348497</v>
      </c>
      <c r="AF4" s="10">
        <v>15.311792499999999</v>
      </c>
      <c r="AG4" s="10">
        <v>12.78358716</v>
      </c>
      <c r="AH4" s="10">
        <v>16.525912850000001</v>
      </c>
      <c r="AI4" s="10">
        <v>12.187400539999999</v>
      </c>
      <c r="AJ4" s="10">
        <v>10.908260390000009</v>
      </c>
      <c r="AK4" s="11">
        <v>5.1303962699999772</v>
      </c>
      <c r="AL4" s="10">
        <v>9.5030370499999997</v>
      </c>
      <c r="AM4" s="10">
        <v>29.348408629999998</v>
      </c>
      <c r="AN4" s="10">
        <v>79.634195939999998</v>
      </c>
      <c r="AO4" s="10">
        <v>16.920325890000015</v>
      </c>
      <c r="AP4" s="10">
        <v>35.299104709999995</v>
      </c>
      <c r="AQ4" s="10">
        <v>47.944792089999993</v>
      </c>
      <c r="AR4" s="10">
        <v>14.436868309999994</v>
      </c>
      <c r="AS4" s="10">
        <v>45.929136100000022</v>
      </c>
      <c r="AT4" s="10">
        <v>23.526963249999994</v>
      </c>
      <c r="AU4" s="10">
        <v>25.79177193999999</v>
      </c>
      <c r="AV4" s="10">
        <v>15.142049100000008</v>
      </c>
      <c r="AW4" s="11">
        <v>18.523346989999993</v>
      </c>
      <c r="AX4" s="10">
        <v>13.458302010000001</v>
      </c>
      <c r="AY4" s="10">
        <v>33.534831100000005</v>
      </c>
      <c r="AZ4" s="10">
        <v>117.99442629000001</v>
      </c>
      <c r="BA4" s="10">
        <v>64.155378560000003</v>
      </c>
      <c r="BB4" s="10">
        <v>58.987139970000015</v>
      </c>
      <c r="BC4" s="10">
        <v>35.812518130000001</v>
      </c>
      <c r="BD4" s="10">
        <v>160.65171207999998</v>
      </c>
      <c r="BE4" s="10">
        <v>59.27</v>
      </c>
      <c r="BF4" s="10">
        <v>46.58</v>
      </c>
      <c r="BG4" s="10">
        <v>36.657980830000042</v>
      </c>
      <c r="BH4" s="10">
        <v>37.850346269999932</v>
      </c>
      <c r="BI4" s="11">
        <v>30.049302470000043</v>
      </c>
      <c r="BJ4" s="10">
        <v>38.271954389999998</v>
      </c>
      <c r="BK4" s="10">
        <v>206.10578477999999</v>
      </c>
      <c r="BL4" s="10">
        <v>523.52058525999996</v>
      </c>
      <c r="BM4" s="10">
        <v>301.5827352</v>
      </c>
      <c r="BN4" s="10">
        <v>285.57109329000002</v>
      </c>
      <c r="BO4" s="10">
        <v>145.82240715</v>
      </c>
      <c r="BP4" s="10">
        <v>171.73975543</v>
      </c>
      <c r="BQ4" s="10">
        <v>146.68222846</v>
      </c>
      <c r="BR4" s="10">
        <v>192.03083050000001</v>
      </c>
      <c r="BS4" s="10">
        <v>146.20854962000001</v>
      </c>
      <c r="BT4" s="10">
        <v>89.656883949999994</v>
      </c>
      <c r="BU4" s="11">
        <v>136.10109930000002</v>
      </c>
      <c r="BV4" s="10">
        <v>207.56362679999995</v>
      </c>
      <c r="BW4" s="10">
        <v>484.98519734000001</v>
      </c>
      <c r="BX4" s="10">
        <v>1208.0581514700002</v>
      </c>
      <c r="BY4" s="10">
        <v>887.96879211000021</v>
      </c>
      <c r="BZ4" s="10">
        <v>975.29977288999999</v>
      </c>
      <c r="CA4" s="10">
        <v>583.90537830000005</v>
      </c>
      <c r="CB4" s="10">
        <v>648.72852719000002</v>
      </c>
      <c r="CC4" s="10">
        <v>252.84560475999999</v>
      </c>
      <c r="CD4" s="10">
        <v>318.15989230999998</v>
      </c>
      <c r="CE4" s="10">
        <v>335.55326186000002</v>
      </c>
      <c r="CF4" s="10">
        <v>221.02643977</v>
      </c>
      <c r="CG4" s="11">
        <v>301.1844931</v>
      </c>
      <c r="CH4" s="10">
        <v>272.52248699</v>
      </c>
      <c r="CI4" s="10">
        <v>700.51361443999997</v>
      </c>
      <c r="CJ4" s="10">
        <v>1962.23930647</v>
      </c>
      <c r="CK4" s="10">
        <v>1483.14847646</v>
      </c>
      <c r="CL4" s="10">
        <v>867.19720608</v>
      </c>
      <c r="CM4" s="10">
        <v>657.73305914000002</v>
      </c>
      <c r="CN4" s="10">
        <v>1158.0564244899999</v>
      </c>
      <c r="CO4" s="10">
        <v>409.92193082</v>
      </c>
    </row>
    <row r="5" spans="1:93" s="12" customFormat="1" x14ac:dyDescent="0.2">
      <c r="A5" s="9" t="s">
        <v>28</v>
      </c>
      <c r="B5" s="10">
        <v>18.783583879999998</v>
      </c>
      <c r="C5" s="10">
        <v>8.4565298900000005</v>
      </c>
      <c r="D5" s="10">
        <v>6.95261525</v>
      </c>
      <c r="E5" s="10">
        <v>3.5786347099999998</v>
      </c>
      <c r="F5" s="10">
        <v>3.4355500999999999</v>
      </c>
      <c r="G5" s="10">
        <v>2.8271558300000001</v>
      </c>
      <c r="H5" s="10">
        <v>5.62730569</v>
      </c>
      <c r="I5" s="10">
        <v>3.0196778900000001</v>
      </c>
      <c r="J5" s="10">
        <v>2.8118675400000002</v>
      </c>
      <c r="K5" s="10">
        <v>2.8130230699999998</v>
      </c>
      <c r="L5" s="10">
        <v>6.9458489800000001</v>
      </c>
      <c r="M5" s="11">
        <v>12.374993330000001</v>
      </c>
      <c r="N5" s="10">
        <v>19.299048969999998</v>
      </c>
      <c r="O5" s="10">
        <v>13.012318689999999</v>
      </c>
      <c r="P5" s="10">
        <v>12.77792421</v>
      </c>
      <c r="Q5" s="10">
        <v>11.030696710000001</v>
      </c>
      <c r="R5" s="10">
        <v>6.1977172099999995</v>
      </c>
      <c r="S5" s="10">
        <v>7.6097010999999997</v>
      </c>
      <c r="T5" s="10">
        <v>8.7189273000000007</v>
      </c>
      <c r="U5" s="10">
        <v>6.6516504000000003</v>
      </c>
      <c r="V5" s="10">
        <v>6.6510554699999993</v>
      </c>
      <c r="W5" s="10">
        <v>4.9161747</v>
      </c>
      <c r="X5" s="10">
        <v>9.340032410000001</v>
      </c>
      <c r="Y5" s="11">
        <v>6.78841128</v>
      </c>
      <c r="Z5" s="10">
        <v>15.34190478</v>
      </c>
      <c r="AA5" s="10">
        <v>14.799747699999999</v>
      </c>
      <c r="AB5" s="10">
        <v>14.96414401</v>
      </c>
      <c r="AC5" s="10">
        <v>9.2051197600000005</v>
      </c>
      <c r="AD5" s="10">
        <v>17.654348760000001</v>
      </c>
      <c r="AE5" s="10">
        <v>21.477132879999999</v>
      </c>
      <c r="AF5" s="10">
        <v>9.9703575799999999</v>
      </c>
      <c r="AG5" s="10">
        <v>7.5476374499999999</v>
      </c>
      <c r="AH5" s="10">
        <v>7.2797310099999999</v>
      </c>
      <c r="AI5" s="10">
        <v>13.754559449999999</v>
      </c>
      <c r="AJ5" s="10">
        <v>17.796638440000002</v>
      </c>
      <c r="AK5" s="11">
        <v>22.870120789999998</v>
      </c>
      <c r="AL5" s="10">
        <v>20.549072429999999</v>
      </c>
      <c r="AM5" s="10">
        <v>11.75741882</v>
      </c>
      <c r="AN5" s="10">
        <v>15.335342580000001</v>
      </c>
      <c r="AO5" s="10">
        <v>23.500928260000002</v>
      </c>
      <c r="AP5" s="10">
        <v>18.96536343</v>
      </c>
      <c r="AQ5" s="10">
        <v>10.912262289999999</v>
      </c>
      <c r="AR5" s="10">
        <v>9.4747696000000001</v>
      </c>
      <c r="AS5" s="10">
        <v>8.3316178399999998</v>
      </c>
      <c r="AT5" s="10">
        <v>5.6035222999999998</v>
      </c>
      <c r="AU5" s="10">
        <v>5.9118024500000006</v>
      </c>
      <c r="AV5" s="10">
        <v>9.8456095299999991</v>
      </c>
      <c r="AW5" s="11">
        <v>20.906987999999998</v>
      </c>
      <c r="AX5" s="10">
        <v>20.198622219999997</v>
      </c>
      <c r="AY5" s="10">
        <v>11.970404949999999</v>
      </c>
      <c r="AZ5" s="10">
        <v>11.016959699999999</v>
      </c>
      <c r="BA5" s="10">
        <v>5.0554922400000004</v>
      </c>
      <c r="BB5" s="10">
        <v>6.3916702000000001</v>
      </c>
      <c r="BC5" s="10">
        <v>7.6979936900000006</v>
      </c>
      <c r="BD5" s="10">
        <v>15.338483550000001</v>
      </c>
      <c r="BE5" s="10">
        <v>18.328736190000001</v>
      </c>
      <c r="BF5" s="10">
        <v>7.3276433399999998</v>
      </c>
      <c r="BG5" s="10">
        <v>8.4818592899999992</v>
      </c>
      <c r="BH5" s="10">
        <v>18.966335749999999</v>
      </c>
      <c r="BI5" s="11">
        <v>30.412537499999999</v>
      </c>
      <c r="BJ5" s="10">
        <v>17.332509899999998</v>
      </c>
      <c r="BK5" s="10">
        <v>21.357153739999998</v>
      </c>
      <c r="BL5" s="10">
        <v>20.455209670000002</v>
      </c>
      <c r="BM5" s="10">
        <v>9.1394847400000003</v>
      </c>
      <c r="BN5" s="10">
        <v>18.25705748</v>
      </c>
      <c r="BO5" s="10">
        <v>17.116003729999999</v>
      </c>
      <c r="BP5" s="10">
        <v>10.773413439999999</v>
      </c>
      <c r="BQ5" s="10">
        <v>8.0449202199999998</v>
      </c>
      <c r="BR5" s="10">
        <v>72.99303218</v>
      </c>
      <c r="BS5" s="10">
        <v>22.360268010000002</v>
      </c>
      <c r="BT5" s="10">
        <v>37.751079149999995</v>
      </c>
      <c r="BU5" s="11">
        <v>35.833278079999999</v>
      </c>
      <c r="BV5" s="10">
        <v>16.827830859999999</v>
      </c>
      <c r="BW5" s="10">
        <v>42.71217858</v>
      </c>
      <c r="BX5" s="10">
        <v>16.599802019999998</v>
      </c>
      <c r="BY5" s="10">
        <v>11.66919156</v>
      </c>
      <c r="BZ5" s="10">
        <v>9.9239821300000006</v>
      </c>
      <c r="CA5" s="10">
        <v>6.32651246</v>
      </c>
      <c r="CB5" s="10">
        <v>7.4330834699999997</v>
      </c>
      <c r="CC5" s="10">
        <v>5.0702126700000001</v>
      </c>
      <c r="CD5" s="10">
        <v>8.4154972699999995</v>
      </c>
      <c r="CE5" s="10">
        <v>5.7131083</v>
      </c>
      <c r="CF5" s="10">
        <v>110.12743904999999</v>
      </c>
      <c r="CG5" s="11">
        <v>43.507320840000006</v>
      </c>
      <c r="CH5" s="10">
        <v>42.127873630000003</v>
      </c>
      <c r="CI5" s="10">
        <v>109.48129895000001</v>
      </c>
      <c r="CJ5" s="10">
        <v>155.71712013999999</v>
      </c>
      <c r="CK5" s="10">
        <v>237.63898186</v>
      </c>
      <c r="CL5" s="10">
        <v>257.83435545999998</v>
      </c>
      <c r="CM5" s="10">
        <v>217.53349630000002</v>
      </c>
      <c r="CN5" s="10">
        <v>78.453226959999995</v>
      </c>
      <c r="CO5" s="10">
        <v>35.931433909999996</v>
      </c>
    </row>
    <row r="6" spans="1:93" s="12" customFormat="1" x14ac:dyDescent="0.2">
      <c r="A6" s="9" t="s">
        <v>21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1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1">
        <v>0</v>
      </c>
      <c r="Z6" s="10">
        <v>0</v>
      </c>
      <c r="AA6" s="10">
        <v>0</v>
      </c>
      <c r="AB6" s="10">
        <v>1</v>
      </c>
      <c r="AC6" s="10">
        <v>2</v>
      </c>
      <c r="AD6" s="10">
        <v>1</v>
      </c>
      <c r="AE6" s="10">
        <v>4</v>
      </c>
      <c r="AF6" s="10">
        <v>1</v>
      </c>
      <c r="AG6" s="10">
        <v>1</v>
      </c>
      <c r="AH6" s="10">
        <v>4</v>
      </c>
      <c r="AI6" s="10">
        <v>2</v>
      </c>
      <c r="AJ6" s="10">
        <v>0</v>
      </c>
      <c r="AK6" s="11">
        <v>5</v>
      </c>
      <c r="AL6" s="10">
        <v>1</v>
      </c>
      <c r="AM6" s="10">
        <v>2</v>
      </c>
      <c r="AN6" s="10">
        <v>11</v>
      </c>
      <c r="AO6" s="10">
        <v>2</v>
      </c>
      <c r="AP6" s="10">
        <v>2</v>
      </c>
      <c r="AQ6" s="10">
        <v>4</v>
      </c>
      <c r="AR6" s="10">
        <v>2</v>
      </c>
      <c r="AS6" s="10">
        <v>2</v>
      </c>
      <c r="AT6" s="10">
        <v>3</v>
      </c>
      <c r="AU6" s="10">
        <v>2</v>
      </c>
      <c r="AV6" s="10">
        <v>4</v>
      </c>
      <c r="AW6" s="11">
        <v>2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35</v>
      </c>
      <c r="BI6" s="11">
        <v>-33</v>
      </c>
      <c r="BJ6" s="10">
        <v>3</v>
      </c>
      <c r="BK6" s="10">
        <v>14</v>
      </c>
      <c r="BL6" s="10">
        <v>25</v>
      </c>
      <c r="BM6" s="10">
        <v>13</v>
      </c>
      <c r="BN6" s="10">
        <v>9</v>
      </c>
      <c r="BO6" s="10">
        <v>10</v>
      </c>
      <c r="BP6" s="10">
        <v>10</v>
      </c>
      <c r="BQ6" s="10">
        <v>5</v>
      </c>
      <c r="BR6" s="10">
        <v>20</v>
      </c>
      <c r="BS6" s="10">
        <v>3</v>
      </c>
      <c r="BT6" s="10">
        <v>7</v>
      </c>
      <c r="BU6" s="11">
        <v>10</v>
      </c>
      <c r="BV6" s="10">
        <v>8</v>
      </c>
      <c r="BW6" s="10">
        <v>46</v>
      </c>
      <c r="BX6" s="10">
        <v>109</v>
      </c>
      <c r="BY6" s="10">
        <v>8</v>
      </c>
      <c r="BZ6" s="10">
        <v>6</v>
      </c>
      <c r="CA6" s="10">
        <v>16</v>
      </c>
      <c r="CB6" s="10">
        <v>16</v>
      </c>
      <c r="CC6" s="10">
        <v>15</v>
      </c>
      <c r="CD6" s="10">
        <v>30</v>
      </c>
      <c r="CE6" s="10">
        <v>37</v>
      </c>
      <c r="CF6" s="10">
        <v>30</v>
      </c>
      <c r="CG6" s="11">
        <v>54</v>
      </c>
      <c r="CH6" s="10">
        <v>30</v>
      </c>
      <c r="CI6" s="10">
        <v>21</v>
      </c>
      <c r="CJ6" s="10">
        <v>27</v>
      </c>
      <c r="CK6" s="10">
        <v>47</v>
      </c>
      <c r="CL6" s="10">
        <v>127</v>
      </c>
      <c r="CM6" s="10">
        <v>120</v>
      </c>
      <c r="CN6" s="10">
        <v>59</v>
      </c>
      <c r="CO6" s="10">
        <v>38</v>
      </c>
    </row>
    <row r="7" spans="1:93" s="12" customFormat="1" x14ac:dyDescent="0.2">
      <c r="A7" s="9" t="s">
        <v>6</v>
      </c>
      <c r="B7" s="10">
        <v>859.62501299999997</v>
      </c>
      <c r="C7" s="10">
        <v>2024.2759160000001</v>
      </c>
      <c r="D7" s="10">
        <v>1620.6697670000001</v>
      </c>
      <c r="E7" s="10">
        <v>1293.914258</v>
      </c>
      <c r="F7" s="10">
        <v>1460.5653729999999</v>
      </c>
      <c r="G7" s="10">
        <v>685.44187399999998</v>
      </c>
      <c r="H7" s="10">
        <v>727.87913900000001</v>
      </c>
      <c r="I7" s="10">
        <v>725.51618800000006</v>
      </c>
      <c r="J7" s="10">
        <v>698.20878600000003</v>
      </c>
      <c r="K7" s="10">
        <v>749.49765500000001</v>
      </c>
      <c r="L7" s="10">
        <v>717.811241</v>
      </c>
      <c r="M7" s="11">
        <v>770.690742</v>
      </c>
      <c r="N7" s="10">
        <v>1415.878978</v>
      </c>
      <c r="O7" s="10">
        <v>3023.5344490000002</v>
      </c>
      <c r="P7" s="10">
        <v>1358.538875</v>
      </c>
      <c r="Q7" s="10">
        <v>2179.0334720000001</v>
      </c>
      <c r="R7" s="10">
        <v>2206.210587</v>
      </c>
      <c r="S7" s="10">
        <v>990.94814699999995</v>
      </c>
      <c r="T7" s="10">
        <v>958.79360499999996</v>
      </c>
      <c r="U7" s="10">
        <v>1006.554763</v>
      </c>
      <c r="V7" s="10">
        <v>1202.911576</v>
      </c>
      <c r="W7" s="10">
        <v>979.12278100000003</v>
      </c>
      <c r="X7" s="10">
        <v>1028.2524490000001</v>
      </c>
      <c r="Y7" s="11">
        <v>1163.525582</v>
      </c>
      <c r="Z7" s="10">
        <v>1831.1713729999999</v>
      </c>
      <c r="AA7" s="10">
        <v>3869.6984400000001</v>
      </c>
      <c r="AB7" s="10">
        <v>2249.1236859999999</v>
      </c>
      <c r="AC7" s="10">
        <v>2256.2188449999999</v>
      </c>
      <c r="AD7" s="10">
        <v>4332.6042120000002</v>
      </c>
      <c r="AE7" s="10">
        <v>1498.8014539999999</v>
      </c>
      <c r="AF7" s="10">
        <v>1469.005447</v>
      </c>
      <c r="AG7" s="10">
        <v>1568.5793590000001</v>
      </c>
      <c r="AH7" s="10">
        <v>1506.911501</v>
      </c>
      <c r="AI7" s="10">
        <v>1421.3809160000001</v>
      </c>
      <c r="AJ7" s="10">
        <v>1388.487928</v>
      </c>
      <c r="AK7" s="11">
        <v>1566.254649</v>
      </c>
      <c r="AL7" s="10">
        <v>2751.1798899999999</v>
      </c>
      <c r="AM7" s="10">
        <v>5306.7633699999997</v>
      </c>
      <c r="AN7" s="10">
        <v>2541.6111810000002</v>
      </c>
      <c r="AO7" s="10">
        <v>3097.9504700000002</v>
      </c>
      <c r="AP7" s="10">
        <v>7109.7966230000002</v>
      </c>
      <c r="AQ7" s="10">
        <v>2185.5187259999998</v>
      </c>
      <c r="AR7" s="10">
        <v>2070.7917080000002</v>
      </c>
      <c r="AS7" s="10">
        <v>2418.7151079999999</v>
      </c>
      <c r="AT7" s="10">
        <v>2437.1399719999999</v>
      </c>
      <c r="AU7" s="10">
        <v>2041.1973700000001</v>
      </c>
      <c r="AV7" s="10">
        <v>2084.55197</v>
      </c>
      <c r="AW7" s="11">
        <v>2147.3829070000002</v>
      </c>
      <c r="AX7" s="10">
        <v>4202.3469839999998</v>
      </c>
      <c r="AY7" s="10">
        <v>7140.5317949999999</v>
      </c>
      <c r="AZ7" s="10">
        <v>4559.3653020000002</v>
      </c>
      <c r="BA7" s="10">
        <v>4272.7344579999999</v>
      </c>
      <c r="BB7" s="10">
        <v>11179.389520999999</v>
      </c>
      <c r="BC7" s="10">
        <v>3474.6303579999999</v>
      </c>
      <c r="BD7" s="10">
        <v>3268.365186</v>
      </c>
      <c r="BE7" s="10">
        <v>3216.1363719999999</v>
      </c>
      <c r="BF7" s="10">
        <v>3095.7197630000001</v>
      </c>
      <c r="BG7" s="10">
        <v>3392.191562</v>
      </c>
      <c r="BH7" s="10">
        <v>3346.3566190000001</v>
      </c>
      <c r="BI7" s="11">
        <v>3380.1411830000002</v>
      </c>
      <c r="BJ7" s="10">
        <v>9142.6017780000002</v>
      </c>
      <c r="BK7" s="10">
        <v>38390.409266000002</v>
      </c>
      <c r="BL7" s="10">
        <v>16320.649923000001</v>
      </c>
      <c r="BM7" s="10">
        <v>13141.132396000001</v>
      </c>
      <c r="BN7" s="10">
        <v>12185.618999</v>
      </c>
      <c r="BO7" s="10">
        <v>7890.8838210000004</v>
      </c>
      <c r="BP7" s="10">
        <v>8988.5306079999991</v>
      </c>
      <c r="BQ7" s="10">
        <v>8871.9398330000004</v>
      </c>
      <c r="BR7" s="10">
        <v>9280.6735000000008</v>
      </c>
      <c r="BS7" s="10">
        <v>9494.1678159999992</v>
      </c>
      <c r="BT7" s="10">
        <v>8622.2927199999995</v>
      </c>
      <c r="BU7" s="11">
        <v>9338.2466370000002</v>
      </c>
      <c r="BV7" s="10">
        <v>18055.743745</v>
      </c>
      <c r="BW7" s="10">
        <v>94728.091925999994</v>
      </c>
      <c r="BX7" s="10">
        <v>48143.382695</v>
      </c>
      <c r="BY7" s="10">
        <v>35425.132927999999</v>
      </c>
      <c r="BZ7" s="10">
        <v>56026.140070000001</v>
      </c>
      <c r="CA7" s="10">
        <v>24994.542867</v>
      </c>
      <c r="CB7" s="10">
        <v>21194.032307000001</v>
      </c>
      <c r="CC7" s="10">
        <v>25370.010576000001</v>
      </c>
      <c r="CD7" s="10">
        <v>18816.811222</v>
      </c>
      <c r="CE7" s="10">
        <v>25613.905050000001</v>
      </c>
      <c r="CF7" s="10">
        <v>21939.682664</v>
      </c>
      <c r="CG7" s="11">
        <v>26553.937129999998</v>
      </c>
      <c r="CH7" s="10">
        <v>45075.523580000001</v>
      </c>
      <c r="CI7" s="10">
        <v>85744.066921999998</v>
      </c>
      <c r="CJ7" s="10">
        <v>61322.928515</v>
      </c>
      <c r="CK7" s="10">
        <v>56237.192615</v>
      </c>
      <c r="CL7" s="10">
        <v>91294.381301999994</v>
      </c>
      <c r="CM7" s="10">
        <v>44508.857899000002</v>
      </c>
      <c r="CN7" s="10">
        <v>29123.031967999999</v>
      </c>
      <c r="CO7" s="10">
        <v>27650.898407000001</v>
      </c>
    </row>
    <row r="8" spans="1:93" s="12" customFormat="1" x14ac:dyDescent="0.2">
      <c r="A8" s="9" t="s">
        <v>52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1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24</v>
      </c>
      <c r="V8" s="10" t="s">
        <v>24</v>
      </c>
      <c r="W8" s="10" t="s">
        <v>24</v>
      </c>
      <c r="X8" s="10" t="s">
        <v>24</v>
      </c>
      <c r="Y8" s="11" t="s">
        <v>24</v>
      </c>
      <c r="Z8" s="10" t="s">
        <v>24</v>
      </c>
      <c r="AA8" s="10" t="s">
        <v>24</v>
      </c>
      <c r="AB8" s="10" t="s">
        <v>24</v>
      </c>
      <c r="AC8" s="10" t="s">
        <v>24</v>
      </c>
      <c r="AD8" s="10" t="s">
        <v>24</v>
      </c>
      <c r="AE8" s="10" t="s">
        <v>24</v>
      </c>
      <c r="AF8" s="10" t="s">
        <v>24</v>
      </c>
      <c r="AG8" s="10" t="s">
        <v>24</v>
      </c>
      <c r="AH8" s="10" t="s">
        <v>24</v>
      </c>
      <c r="AI8" s="10" t="s">
        <v>24</v>
      </c>
      <c r="AJ8" s="10" t="s">
        <v>24</v>
      </c>
      <c r="AK8" s="11" t="s">
        <v>24</v>
      </c>
      <c r="AL8" s="10" t="s">
        <v>24</v>
      </c>
      <c r="AM8" s="10" t="s">
        <v>24</v>
      </c>
      <c r="AN8" s="10" t="s">
        <v>24</v>
      </c>
      <c r="AO8" s="10" t="s">
        <v>24</v>
      </c>
      <c r="AP8" s="10" t="s">
        <v>24</v>
      </c>
      <c r="AQ8" s="10" t="s">
        <v>24</v>
      </c>
      <c r="AR8" s="10" t="s">
        <v>24</v>
      </c>
      <c r="AS8" s="10" t="s">
        <v>24</v>
      </c>
      <c r="AT8" s="10" t="s">
        <v>24</v>
      </c>
      <c r="AU8" s="10" t="s">
        <v>24</v>
      </c>
      <c r="AV8" s="10" t="s">
        <v>24</v>
      </c>
      <c r="AW8" s="11" t="s">
        <v>24</v>
      </c>
      <c r="AX8" s="10" t="s">
        <v>24</v>
      </c>
      <c r="AY8" s="10" t="s">
        <v>24</v>
      </c>
      <c r="AZ8" s="10" t="s">
        <v>24</v>
      </c>
      <c r="BA8" s="10" t="s">
        <v>24</v>
      </c>
      <c r="BB8" s="10" t="s">
        <v>24</v>
      </c>
      <c r="BC8" s="10" t="s">
        <v>24</v>
      </c>
      <c r="BD8" s="10" t="s">
        <v>24</v>
      </c>
      <c r="BE8" s="10" t="s">
        <v>24</v>
      </c>
      <c r="BF8" s="10" t="s">
        <v>24</v>
      </c>
      <c r="BG8" s="10" t="s">
        <v>24</v>
      </c>
      <c r="BH8" s="10" t="s">
        <v>24</v>
      </c>
      <c r="BI8" s="11" t="s">
        <v>24</v>
      </c>
      <c r="BJ8" s="10">
        <v>101.28391681999999</v>
      </c>
      <c r="BK8" s="10">
        <v>149.08151902999998</v>
      </c>
      <c r="BL8" s="10">
        <v>198.78435353999998</v>
      </c>
      <c r="BM8" s="10">
        <v>1376.2785490100002</v>
      </c>
      <c r="BN8" s="10">
        <v>286.84039156999995</v>
      </c>
      <c r="BO8" s="10">
        <v>508.34410922999996</v>
      </c>
      <c r="BP8" s="10">
        <v>306.25967684</v>
      </c>
      <c r="BQ8" s="10">
        <v>581.37703381000006</v>
      </c>
      <c r="BR8" s="10">
        <v>313.80028330999994</v>
      </c>
      <c r="BS8" s="10">
        <v>570.10442912000008</v>
      </c>
      <c r="BT8" s="10">
        <v>241.16307359000001</v>
      </c>
      <c r="BU8" s="11">
        <v>206.9</v>
      </c>
      <c r="BV8" s="10">
        <v>132.97999999999999</v>
      </c>
      <c r="BW8" s="10">
        <v>231.17473618</v>
      </c>
      <c r="BX8" s="10">
        <v>343.76442443000002</v>
      </c>
      <c r="BY8" s="10">
        <v>3381.3494169599999</v>
      </c>
      <c r="BZ8" s="10">
        <v>429.72080667999995</v>
      </c>
      <c r="CA8" s="10">
        <v>1145.6416696700001</v>
      </c>
      <c r="CB8" s="10">
        <v>443.95626543000009</v>
      </c>
      <c r="CC8" s="10">
        <v>1079.6009546699997</v>
      </c>
      <c r="CD8" s="10">
        <v>595.27403579999998</v>
      </c>
      <c r="CE8" s="10">
        <v>1145.32973176</v>
      </c>
      <c r="CF8" s="10">
        <v>509.26467854000009</v>
      </c>
      <c r="CG8" s="11">
        <v>279.45639282999997</v>
      </c>
      <c r="CH8" s="10">
        <v>295.86017554000006</v>
      </c>
      <c r="CI8" s="10">
        <v>310.06834559000004</v>
      </c>
      <c r="CJ8" s="10">
        <v>718.13710586999991</v>
      </c>
      <c r="CK8" s="10">
        <v>5275.9158518099985</v>
      </c>
      <c r="CL8" s="10">
        <v>525.78507986999989</v>
      </c>
      <c r="CM8" s="10">
        <v>1526.8834413200011</v>
      </c>
      <c r="CN8" s="10">
        <v>501.21049586999999</v>
      </c>
      <c r="CO8" s="10"/>
    </row>
    <row r="9" spans="1:93" s="12" customFormat="1" x14ac:dyDescent="0.2">
      <c r="A9" s="9" t="s">
        <v>7</v>
      </c>
      <c r="B9" s="10">
        <v>196.48617899999999</v>
      </c>
      <c r="C9" s="10">
        <v>628.71718699999997</v>
      </c>
      <c r="D9" s="10">
        <v>159.091757</v>
      </c>
      <c r="E9" s="10">
        <v>897.48227599999996</v>
      </c>
      <c r="F9" s="10">
        <v>464.17590999999999</v>
      </c>
      <c r="G9" s="10">
        <v>210.028538</v>
      </c>
      <c r="H9" s="10">
        <v>530.19793100000004</v>
      </c>
      <c r="I9" s="10">
        <v>356.59199899999999</v>
      </c>
      <c r="J9" s="10">
        <v>126.184185</v>
      </c>
      <c r="K9" s="10">
        <v>696.66736800000001</v>
      </c>
      <c r="L9" s="10">
        <v>93.809325000000001</v>
      </c>
      <c r="M9" s="11">
        <v>682.42195800000002</v>
      </c>
      <c r="N9" s="10">
        <v>123.809026</v>
      </c>
      <c r="O9" s="10">
        <v>936.73252300000001</v>
      </c>
      <c r="P9" s="10">
        <v>74.169034999999994</v>
      </c>
      <c r="Q9" s="10">
        <v>32.063482999999998</v>
      </c>
      <c r="R9" s="10">
        <v>1007.391133</v>
      </c>
      <c r="S9" s="10">
        <v>209.21616399999999</v>
      </c>
      <c r="T9" s="10">
        <v>642.95572500000003</v>
      </c>
      <c r="U9" s="10">
        <v>437.57476300000002</v>
      </c>
      <c r="V9" s="10">
        <v>131.40764999999999</v>
      </c>
      <c r="W9" s="10">
        <v>972.46171800000002</v>
      </c>
      <c r="X9" s="10">
        <v>129.17191199999999</v>
      </c>
      <c r="Y9" s="11">
        <v>1000.065688</v>
      </c>
      <c r="Z9" s="10">
        <v>98.937494000000001</v>
      </c>
      <c r="AA9" s="10">
        <v>1193.9672009999999</v>
      </c>
      <c r="AB9" s="10">
        <v>170.57311100000001</v>
      </c>
      <c r="AC9" s="10">
        <v>1337.9</v>
      </c>
      <c r="AD9" s="10">
        <v>727.323531</v>
      </c>
      <c r="AE9" s="10">
        <v>326.19183500000003</v>
      </c>
      <c r="AF9" s="10">
        <v>1002.635612</v>
      </c>
      <c r="AG9" s="10">
        <v>738.58203100000003</v>
      </c>
      <c r="AH9" s="10">
        <v>291.42030899999997</v>
      </c>
      <c r="AI9" s="10">
        <v>1444.4115569999999</v>
      </c>
      <c r="AJ9" s="10">
        <v>268.27175699999998</v>
      </c>
      <c r="AK9" s="11">
        <v>1455.0347420000001</v>
      </c>
      <c r="AL9" s="10">
        <v>194.48030700000001</v>
      </c>
      <c r="AM9" s="10">
        <v>1863.536233</v>
      </c>
      <c r="AN9" s="10">
        <v>254.00515300000001</v>
      </c>
      <c r="AO9" s="10">
        <v>295.35362500000002</v>
      </c>
      <c r="AP9" s="10">
        <v>2591.472088</v>
      </c>
      <c r="AQ9" s="10">
        <v>275.11012899999997</v>
      </c>
      <c r="AR9" s="10">
        <v>1137.098923</v>
      </c>
      <c r="AS9" s="10">
        <v>969.878243</v>
      </c>
      <c r="AT9" s="10">
        <v>350.86537800000002</v>
      </c>
      <c r="AU9" s="10">
        <v>1953.460024</v>
      </c>
      <c r="AV9" s="10">
        <v>338.01328899999999</v>
      </c>
      <c r="AW9" s="11">
        <v>1955.897125</v>
      </c>
      <c r="AX9" s="10">
        <v>294.542957</v>
      </c>
      <c r="AY9" s="10">
        <v>2809.9179650000001</v>
      </c>
      <c r="AZ9" s="10">
        <v>467.9692</v>
      </c>
      <c r="BA9" s="10">
        <v>288.11461100000002</v>
      </c>
      <c r="BB9" s="10">
        <v>3654.1003759999999</v>
      </c>
      <c r="BC9" s="10">
        <v>459.68301100000002</v>
      </c>
      <c r="BD9" s="10">
        <v>1721.8549459999999</v>
      </c>
      <c r="BE9" s="10">
        <v>1790.1050230000001</v>
      </c>
      <c r="BF9" s="10">
        <v>563.72359200000005</v>
      </c>
      <c r="BG9" s="10">
        <v>3045.7694200000001</v>
      </c>
      <c r="BH9" s="10">
        <v>546.00713299999995</v>
      </c>
      <c r="BI9" s="11">
        <v>3161.569958</v>
      </c>
      <c r="BJ9" s="10">
        <v>702.80984899999999</v>
      </c>
      <c r="BK9" s="10">
        <v>433.516166</v>
      </c>
      <c r="BL9" s="10">
        <v>545.13588300000004</v>
      </c>
      <c r="BM9" s="10">
        <v>8072.6234880000002</v>
      </c>
      <c r="BN9" s="10">
        <v>8702.1698529999994</v>
      </c>
      <c r="BO9" s="10">
        <v>5595.6599770000003</v>
      </c>
      <c r="BP9" s="10">
        <v>5665.8474269999997</v>
      </c>
      <c r="BQ9" s="10">
        <v>3749.7895960000001</v>
      </c>
      <c r="BR9" s="10">
        <v>1059.7032469999999</v>
      </c>
      <c r="BS9" s="10">
        <v>8106.805668</v>
      </c>
      <c r="BT9" s="10">
        <v>1255.2687530000001</v>
      </c>
      <c r="BU9" s="11">
        <v>8204.4679159999996</v>
      </c>
      <c r="BV9" s="10">
        <v>944.30146200000001</v>
      </c>
      <c r="BW9" s="10">
        <v>787.20232699999997</v>
      </c>
      <c r="BX9" s="10">
        <v>756.33421399999997</v>
      </c>
      <c r="BY9" s="10">
        <v>15539.676266</v>
      </c>
      <c r="BZ9" s="10">
        <v>20068.877863000002</v>
      </c>
      <c r="CA9" s="10">
        <v>9192.2568140000003</v>
      </c>
      <c r="CB9" s="10">
        <v>11027.158119</v>
      </c>
      <c r="CC9" s="10">
        <v>8735.4507190000004</v>
      </c>
      <c r="CD9" s="10">
        <v>4731.2467470000001</v>
      </c>
      <c r="CE9" s="10">
        <v>18603.536714000002</v>
      </c>
      <c r="CF9" s="10">
        <v>3278.6250540000001</v>
      </c>
      <c r="CG9" s="11">
        <v>17847.976342000002</v>
      </c>
      <c r="CH9" s="10">
        <v>2777.2340290000002</v>
      </c>
      <c r="CI9" s="10">
        <v>21947.150063000001</v>
      </c>
      <c r="CJ9" s="10">
        <v>6351.9416309999997</v>
      </c>
      <c r="CK9" s="10">
        <v>11384.357645</v>
      </c>
      <c r="CL9" s="10">
        <v>29765.719996</v>
      </c>
      <c r="CM9" s="10">
        <v>12586.459045</v>
      </c>
      <c r="CN9" s="10">
        <v>13952.934723</v>
      </c>
      <c r="CO9" s="10">
        <v>12643.236992</v>
      </c>
    </row>
    <row r="10" spans="1:93" s="12" customFormat="1" x14ac:dyDescent="0.2">
      <c r="A10" s="9" t="s">
        <v>29</v>
      </c>
      <c r="B10" s="10">
        <v>1.98644047</v>
      </c>
      <c r="C10" s="10">
        <v>4.0490268</v>
      </c>
      <c r="D10" s="10">
        <v>16.429160960000001</v>
      </c>
      <c r="E10" s="10">
        <v>4.2105273200000006</v>
      </c>
      <c r="F10" s="10">
        <v>4.3155613200000005</v>
      </c>
      <c r="G10" s="10">
        <v>5.3802449900000004</v>
      </c>
      <c r="H10" s="10">
        <v>3.25428484</v>
      </c>
      <c r="I10" s="10">
        <v>2.42926435</v>
      </c>
      <c r="J10" s="10">
        <v>3.0957419399999999</v>
      </c>
      <c r="K10" s="10">
        <v>3.2904476499999999</v>
      </c>
      <c r="L10" s="10">
        <v>1.5970081999999999</v>
      </c>
      <c r="M10" s="11">
        <v>3.1071824300000004</v>
      </c>
      <c r="N10" s="10">
        <v>3.5268241000000002</v>
      </c>
      <c r="O10" s="10">
        <v>2.6232570000000002</v>
      </c>
      <c r="P10" s="10">
        <v>5.0739912499999997</v>
      </c>
      <c r="Q10" s="10">
        <v>10.00448686</v>
      </c>
      <c r="R10" s="10">
        <v>5.5793584999999997</v>
      </c>
      <c r="S10" s="10">
        <v>10.477745000000001</v>
      </c>
      <c r="T10" s="10">
        <v>4.06103608</v>
      </c>
      <c r="U10" s="10">
        <v>3.2587531300000001</v>
      </c>
      <c r="V10" s="10">
        <v>3.6659977400000003</v>
      </c>
      <c r="W10" s="10">
        <v>3.2247258599999999</v>
      </c>
      <c r="X10" s="10">
        <v>5.6608655900000002</v>
      </c>
      <c r="Y10" s="11">
        <v>3.61980909</v>
      </c>
      <c r="Z10" s="10">
        <v>3.0217350699999996</v>
      </c>
      <c r="AA10" s="10">
        <v>6.6032313199999999</v>
      </c>
      <c r="AB10" s="10">
        <v>21.429373899999998</v>
      </c>
      <c r="AC10" s="10">
        <v>19.170000000000002</v>
      </c>
      <c r="AD10" s="10">
        <v>6.8703660499999994</v>
      </c>
      <c r="AE10" s="10">
        <v>10.68829667</v>
      </c>
      <c r="AF10" s="10">
        <v>7.6748262699999996</v>
      </c>
      <c r="AG10" s="10">
        <v>6.2481988499999996</v>
      </c>
      <c r="AH10" s="10">
        <v>7.8084607000000004</v>
      </c>
      <c r="AI10" s="10">
        <v>8.8603781000000001</v>
      </c>
      <c r="AJ10" s="10">
        <v>6.5905706500000001</v>
      </c>
      <c r="AK10" s="11">
        <v>11.06562765</v>
      </c>
      <c r="AL10" s="10">
        <v>5.4308609199999998</v>
      </c>
      <c r="AM10" s="10">
        <v>9.3567669000000002</v>
      </c>
      <c r="AN10" s="10">
        <v>24.639122320000002</v>
      </c>
      <c r="AO10" s="10">
        <v>9.8765147300000002</v>
      </c>
      <c r="AP10" s="10">
        <v>12.79737727</v>
      </c>
      <c r="AQ10" s="10">
        <v>14.016144990000001</v>
      </c>
      <c r="AR10" s="10">
        <v>11.948107960000002</v>
      </c>
      <c r="AS10" s="10">
        <v>11.58602492</v>
      </c>
      <c r="AT10" s="10">
        <v>10.459628539999999</v>
      </c>
      <c r="AU10" s="10">
        <v>10.3888686</v>
      </c>
      <c r="AV10" s="10">
        <v>8.5707827699999992</v>
      </c>
      <c r="AW10" s="11">
        <v>9.9086604600000001</v>
      </c>
      <c r="AX10" s="10">
        <v>5.7826597900000003</v>
      </c>
      <c r="AY10" s="10">
        <v>9.3060708200000004</v>
      </c>
      <c r="AZ10" s="10">
        <v>30.380809760000002</v>
      </c>
      <c r="BA10" s="10">
        <v>10.545881339999999</v>
      </c>
      <c r="BB10" s="10">
        <v>9.5221266500000006</v>
      </c>
      <c r="BC10" s="10">
        <v>15.68298923</v>
      </c>
      <c r="BD10" s="10">
        <v>18.167850120000001</v>
      </c>
      <c r="BE10" s="10">
        <v>11.62186185</v>
      </c>
      <c r="BF10" s="10">
        <v>13.205152310000001</v>
      </c>
      <c r="BG10" s="10">
        <v>11.39951011</v>
      </c>
      <c r="BH10" s="10">
        <v>10.39158844</v>
      </c>
      <c r="BI10" s="11">
        <v>16.583759230000002</v>
      </c>
      <c r="BJ10" s="10">
        <v>13.47355801</v>
      </c>
      <c r="BK10" s="10">
        <v>17.63450787</v>
      </c>
      <c r="BL10" s="10">
        <v>49.258518420000001</v>
      </c>
      <c r="BM10" s="10">
        <v>35.440909130000001</v>
      </c>
      <c r="BN10" s="10">
        <v>30.143325359999999</v>
      </c>
      <c r="BO10" s="10">
        <v>66.512644019999996</v>
      </c>
      <c r="BP10" s="10">
        <v>86.201847779999994</v>
      </c>
      <c r="BQ10" s="10">
        <v>65.188433200000006</v>
      </c>
      <c r="BR10" s="10">
        <v>60.61625755</v>
      </c>
      <c r="BS10" s="10">
        <v>60.856144380000003</v>
      </c>
      <c r="BT10" s="10">
        <v>58.205743270000006</v>
      </c>
      <c r="BU10" s="11">
        <v>60.984718729999997</v>
      </c>
      <c r="BV10" s="10">
        <v>51.961855159999999</v>
      </c>
      <c r="BW10" s="10">
        <v>61.808090679999999</v>
      </c>
      <c r="BX10" s="10">
        <v>88.606207519999998</v>
      </c>
      <c r="BY10" s="10">
        <v>67.309550959999996</v>
      </c>
      <c r="BZ10" s="10">
        <v>68.180008110000003</v>
      </c>
      <c r="CA10" s="10">
        <v>62.413398649999998</v>
      </c>
      <c r="CB10" s="10">
        <v>74.620397389999994</v>
      </c>
      <c r="CC10" s="10">
        <v>60.934076470000001</v>
      </c>
      <c r="CD10" s="10">
        <v>62.715326909999995</v>
      </c>
      <c r="CE10" s="10">
        <v>64.943201759999994</v>
      </c>
      <c r="CF10" s="10">
        <v>77.852224540000009</v>
      </c>
      <c r="CG10" s="11">
        <v>77.697647900000007</v>
      </c>
      <c r="CH10" s="10">
        <v>53.696130689999997</v>
      </c>
      <c r="CI10" s="10">
        <v>51.507627390000003</v>
      </c>
      <c r="CJ10" s="10">
        <v>106.6519598</v>
      </c>
      <c r="CK10" s="10">
        <v>90.597546010000002</v>
      </c>
      <c r="CL10" s="10">
        <v>157.41854094999999</v>
      </c>
      <c r="CM10" s="10">
        <v>166.92977987</v>
      </c>
      <c r="CN10" s="10">
        <v>154.14612296999999</v>
      </c>
      <c r="CO10" s="10">
        <v>117.94390326999999</v>
      </c>
    </row>
    <row r="11" spans="1:93" s="12" customFormat="1" x14ac:dyDescent="0.2">
      <c r="A11" s="9" t="s">
        <v>9</v>
      </c>
      <c r="B11" s="10">
        <v>46.360999999999997</v>
      </c>
      <c r="C11" s="10">
        <v>110.873</v>
      </c>
      <c r="D11" s="10">
        <v>53.481000000000002</v>
      </c>
      <c r="E11" s="10">
        <v>18.716000000000001</v>
      </c>
      <c r="F11" s="10">
        <v>15.784000000000001</v>
      </c>
      <c r="G11" s="10">
        <v>12.113</v>
      </c>
      <c r="H11" s="10">
        <v>14.771000000000001</v>
      </c>
      <c r="I11" s="10">
        <v>10.973000000000001</v>
      </c>
      <c r="J11" s="10">
        <v>9.9849999999999994</v>
      </c>
      <c r="K11" s="10">
        <v>10.804</v>
      </c>
      <c r="L11" s="10">
        <v>8.9589999999999996</v>
      </c>
      <c r="M11" s="11">
        <v>13.602</v>
      </c>
      <c r="N11" s="10">
        <v>68.152000000000001</v>
      </c>
      <c r="O11" s="10">
        <v>171.321</v>
      </c>
      <c r="P11" s="10">
        <v>45.76</v>
      </c>
      <c r="Q11" s="10">
        <v>13.315</v>
      </c>
      <c r="R11" s="10">
        <v>20.684000000000001</v>
      </c>
      <c r="S11" s="10">
        <v>13.505000000000001</v>
      </c>
      <c r="T11" s="10">
        <v>10.057</v>
      </c>
      <c r="U11" s="10">
        <v>7.9829999999999997</v>
      </c>
      <c r="V11" s="10">
        <v>15.422000000000001</v>
      </c>
      <c r="W11" s="10">
        <v>21.742999999999999</v>
      </c>
      <c r="X11" s="10">
        <v>22.728999999999999</v>
      </c>
      <c r="Y11" s="11">
        <v>25.532063999999998</v>
      </c>
      <c r="Z11" s="10">
        <v>107.154</v>
      </c>
      <c r="AA11" s="10">
        <v>158.887</v>
      </c>
      <c r="AB11" s="10">
        <v>133.83118200000001</v>
      </c>
      <c r="AC11" s="10">
        <v>30.27</v>
      </c>
      <c r="AD11" s="10">
        <v>23.80874</v>
      </c>
      <c r="AE11" s="10">
        <v>27.125442</v>
      </c>
      <c r="AF11" s="10">
        <v>26.373684999999998</v>
      </c>
      <c r="AG11" s="10">
        <v>20.200517999999999</v>
      </c>
      <c r="AH11" s="10">
        <v>20.330826999999999</v>
      </c>
      <c r="AI11" s="10">
        <v>19.301123</v>
      </c>
      <c r="AJ11" s="10">
        <v>21.568881999999999</v>
      </c>
      <c r="AK11" s="11">
        <v>25.766514999999998</v>
      </c>
      <c r="AL11" s="10">
        <v>125.493262</v>
      </c>
      <c r="AM11" s="10">
        <v>325.66574100000003</v>
      </c>
      <c r="AN11" s="10">
        <v>162.26216099999999</v>
      </c>
      <c r="AO11" s="10">
        <v>52.214081</v>
      </c>
      <c r="AP11" s="10">
        <v>36.902873999999997</v>
      </c>
      <c r="AQ11" s="10">
        <v>29.287023000000001</v>
      </c>
      <c r="AR11" s="10">
        <v>38.034984000000001</v>
      </c>
      <c r="AS11" s="10">
        <v>37.343031000000003</v>
      </c>
      <c r="AT11" s="10">
        <v>34.000816</v>
      </c>
      <c r="AU11" s="10">
        <v>28.892769999999999</v>
      </c>
      <c r="AV11" s="10">
        <v>30.133011</v>
      </c>
      <c r="AW11" s="11">
        <v>40.541172000000003</v>
      </c>
      <c r="AX11" s="10">
        <v>234.83801600000001</v>
      </c>
      <c r="AY11" s="10">
        <v>315.08815099999998</v>
      </c>
      <c r="AZ11" s="10">
        <v>393.61365000000001</v>
      </c>
      <c r="BA11" s="10">
        <v>80.532107999999994</v>
      </c>
      <c r="BB11" s="10">
        <v>57.710211000000001</v>
      </c>
      <c r="BC11" s="10">
        <v>49.671275999999999</v>
      </c>
      <c r="BD11" s="10">
        <v>54.104700000000001</v>
      </c>
      <c r="BE11" s="10">
        <v>52.856772999999997</v>
      </c>
      <c r="BF11" s="10">
        <v>42.955826000000002</v>
      </c>
      <c r="BG11" s="10">
        <v>51.938243999999997</v>
      </c>
      <c r="BH11" s="10">
        <v>58.201824000000002</v>
      </c>
      <c r="BI11" s="11">
        <v>58.417628000000001</v>
      </c>
      <c r="BJ11" s="10">
        <v>510.99838799999998</v>
      </c>
      <c r="BK11" s="10">
        <v>1198.3413880000001</v>
      </c>
      <c r="BL11" s="10">
        <v>728.05742699999996</v>
      </c>
      <c r="BM11" s="10">
        <v>252.80868699999999</v>
      </c>
      <c r="BN11" s="10">
        <v>137.470056</v>
      </c>
      <c r="BO11" s="10">
        <v>122.895636</v>
      </c>
      <c r="BP11" s="10">
        <v>168.32618299999999</v>
      </c>
      <c r="BQ11" s="10">
        <v>136.90413000000001</v>
      </c>
      <c r="BR11" s="10">
        <v>131.75223099999999</v>
      </c>
      <c r="BS11" s="10">
        <v>211.92026200000001</v>
      </c>
      <c r="BT11" s="10">
        <v>225.53831299999999</v>
      </c>
      <c r="BU11" s="11">
        <v>220.29877400000001</v>
      </c>
      <c r="BV11" s="10">
        <v>1126.6109899999999</v>
      </c>
      <c r="BW11" s="10">
        <v>3095.9579650000001</v>
      </c>
      <c r="BX11" s="10">
        <v>1735.021835</v>
      </c>
      <c r="BY11" s="10">
        <v>758.67088699999999</v>
      </c>
      <c r="BZ11" s="10">
        <v>308.28703100000001</v>
      </c>
      <c r="CA11" s="10">
        <v>232.24490499999999</v>
      </c>
      <c r="CB11" s="10">
        <v>353.759139</v>
      </c>
      <c r="CC11" s="10">
        <v>276.39086300000002</v>
      </c>
      <c r="CD11" s="10">
        <v>343.13790999999998</v>
      </c>
      <c r="CE11" s="10">
        <v>303.10140799999999</v>
      </c>
      <c r="CF11" s="10">
        <v>230.61714799999999</v>
      </c>
      <c r="CG11" s="11">
        <v>346.54054100000002</v>
      </c>
      <c r="CH11" s="10">
        <v>1444.9843189999999</v>
      </c>
      <c r="CI11" s="10">
        <v>2770.0879329999998</v>
      </c>
      <c r="CJ11" s="10">
        <v>2784.6448540000001</v>
      </c>
      <c r="CK11" s="10">
        <v>809.55619899999999</v>
      </c>
      <c r="CL11" s="10">
        <v>466.65215699999999</v>
      </c>
      <c r="CM11" s="10">
        <v>585.15436099999999</v>
      </c>
      <c r="CN11" s="10">
        <v>689.96657100000004</v>
      </c>
      <c r="CO11" s="10">
        <v>734.699028</v>
      </c>
    </row>
    <row r="12" spans="1:93" s="12" customFormat="1" x14ac:dyDescent="0.2">
      <c r="A12" s="9" t="s">
        <v>27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1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  <c r="X12" s="10" t="s">
        <v>24</v>
      </c>
      <c r="Y12" s="11" t="s">
        <v>24</v>
      </c>
      <c r="Z12" s="10" t="s">
        <v>24</v>
      </c>
      <c r="AA12" s="10" t="s">
        <v>24</v>
      </c>
      <c r="AB12" s="10" t="s">
        <v>24</v>
      </c>
      <c r="AC12" s="10" t="s">
        <v>24</v>
      </c>
      <c r="AD12" s="10" t="s">
        <v>24</v>
      </c>
      <c r="AE12" s="10" t="s">
        <v>24</v>
      </c>
      <c r="AF12" s="10" t="s">
        <v>24</v>
      </c>
      <c r="AG12" s="10" t="s">
        <v>24</v>
      </c>
      <c r="AH12" s="10" t="s">
        <v>24</v>
      </c>
      <c r="AI12" s="10" t="s">
        <v>24</v>
      </c>
      <c r="AJ12" s="10" t="s">
        <v>24</v>
      </c>
      <c r="AK12" s="11" t="s">
        <v>24</v>
      </c>
      <c r="AL12" s="10" t="s">
        <v>24</v>
      </c>
      <c r="AM12" s="10" t="s">
        <v>24</v>
      </c>
      <c r="AN12" s="10" t="s">
        <v>24</v>
      </c>
      <c r="AO12" s="10" t="s">
        <v>24</v>
      </c>
      <c r="AP12" s="10" t="s">
        <v>24</v>
      </c>
      <c r="AQ12" s="10" t="s">
        <v>24</v>
      </c>
      <c r="AR12" s="10" t="s">
        <v>24</v>
      </c>
      <c r="AS12" s="10" t="s">
        <v>24</v>
      </c>
      <c r="AT12" s="10" t="s">
        <v>24</v>
      </c>
      <c r="AU12" s="10" t="s">
        <v>24</v>
      </c>
      <c r="AV12" s="10" t="s">
        <v>24</v>
      </c>
      <c r="AW12" s="11" t="s">
        <v>24</v>
      </c>
      <c r="AX12" s="10" t="s">
        <v>24</v>
      </c>
      <c r="AY12" s="10" t="s">
        <v>24</v>
      </c>
      <c r="AZ12" s="10" t="s">
        <v>24</v>
      </c>
      <c r="BA12" s="10" t="s">
        <v>24</v>
      </c>
      <c r="BB12" s="10" t="s">
        <v>24</v>
      </c>
      <c r="BC12" s="10" t="s">
        <v>24</v>
      </c>
      <c r="BD12" s="10" t="s">
        <v>24</v>
      </c>
      <c r="BE12" s="10" t="s">
        <v>24</v>
      </c>
      <c r="BF12" s="10" t="s">
        <v>24</v>
      </c>
      <c r="BG12" s="10" t="s">
        <v>24</v>
      </c>
      <c r="BH12" s="10" t="s">
        <v>24</v>
      </c>
      <c r="BI12" s="11" t="s">
        <v>24</v>
      </c>
      <c r="BJ12" s="10">
        <v>215.30074465000001</v>
      </c>
      <c r="BK12" s="10">
        <v>153.78647324000002</v>
      </c>
      <c r="BL12" s="10">
        <v>197.96757736000001</v>
      </c>
      <c r="BM12" s="10">
        <v>2328.4024541799999</v>
      </c>
      <c r="BN12" s="10">
        <v>1581.91052113</v>
      </c>
      <c r="BO12" s="10">
        <v>1342.9352710999999</v>
      </c>
      <c r="BP12" s="10">
        <v>1887.0443724700001</v>
      </c>
      <c r="BQ12" s="10">
        <v>700.00918632000003</v>
      </c>
      <c r="BR12" s="10">
        <v>1645.30405068</v>
      </c>
      <c r="BS12" s="10">
        <v>698.48485071000005</v>
      </c>
      <c r="BT12" s="10">
        <v>680.96558327000002</v>
      </c>
      <c r="BU12" s="11">
        <v>393.17888469999889</v>
      </c>
      <c r="BV12" s="10">
        <v>284.95326514999999</v>
      </c>
      <c r="BW12" s="10">
        <v>239.74369555999999</v>
      </c>
      <c r="BX12" s="10">
        <v>447.02817183000002</v>
      </c>
      <c r="BY12" s="10">
        <v>5548.9372644799996</v>
      </c>
      <c r="BZ12" s="10">
        <v>3138.7893697999998</v>
      </c>
      <c r="CA12" s="10">
        <v>3295.2599687699999</v>
      </c>
      <c r="CB12" s="10">
        <v>4013.4953248400002</v>
      </c>
      <c r="CC12" s="10">
        <v>1533.1180490300001</v>
      </c>
      <c r="CD12" s="10">
        <v>3729.3897619600002</v>
      </c>
      <c r="CE12" s="10">
        <v>1380.5019894</v>
      </c>
      <c r="CF12" s="10">
        <v>1227.70734223</v>
      </c>
      <c r="CG12" s="11">
        <v>948.96688714000004</v>
      </c>
      <c r="CH12" s="10">
        <v>603.31670843999996</v>
      </c>
      <c r="CI12" s="10">
        <v>440.43229886</v>
      </c>
      <c r="CJ12" s="10">
        <v>1489.88057652</v>
      </c>
      <c r="CK12" s="10">
        <v>7765.8284778300003</v>
      </c>
      <c r="CL12" s="10">
        <v>4018.6921661000001</v>
      </c>
      <c r="CM12" s="10">
        <v>4455.1753705299998</v>
      </c>
      <c r="CN12" s="10">
        <v>4948.16676284</v>
      </c>
      <c r="CO12" s="10"/>
    </row>
    <row r="13" spans="1:93" s="12" customFormat="1" x14ac:dyDescent="0.2">
      <c r="A13" s="9" t="s">
        <v>10</v>
      </c>
      <c r="B13" s="10">
        <v>1.7411390900000001</v>
      </c>
      <c r="C13" s="10">
        <v>3.4648763799999998</v>
      </c>
      <c r="D13" s="10">
        <v>8.7362730500000012</v>
      </c>
      <c r="E13" s="10">
        <v>12.997656449999999</v>
      </c>
      <c r="F13" s="10">
        <v>2.6737795600000003</v>
      </c>
      <c r="G13" s="10">
        <v>2.0405182900000001</v>
      </c>
      <c r="H13" s="10">
        <v>2.00589759</v>
      </c>
      <c r="I13" s="10">
        <v>3.1715151600000002</v>
      </c>
      <c r="J13" s="10">
        <v>4.6933476299999999</v>
      </c>
      <c r="K13" s="10">
        <v>3.75487533</v>
      </c>
      <c r="L13" s="10">
        <v>2.1367010499999997</v>
      </c>
      <c r="M13" s="11">
        <v>2.7152600800000073</v>
      </c>
      <c r="N13" s="10">
        <v>3.2594323900000002</v>
      </c>
      <c r="O13" s="10">
        <v>4.5407581100000005</v>
      </c>
      <c r="P13" s="10">
        <v>7.4429018099999995</v>
      </c>
      <c r="Q13" s="10">
        <v>3.5505954100000001</v>
      </c>
      <c r="R13" s="10">
        <v>8.8524571999999999</v>
      </c>
      <c r="S13" s="10">
        <v>4.8174715599999995</v>
      </c>
      <c r="T13" s="10">
        <v>2.9738350499999999</v>
      </c>
      <c r="U13" s="10">
        <v>2.3540037000000003</v>
      </c>
      <c r="V13" s="10">
        <v>1.69428372</v>
      </c>
      <c r="W13" s="10">
        <v>2.34402373</v>
      </c>
      <c r="X13" s="10">
        <v>2.5728543799999999</v>
      </c>
      <c r="Y13" s="11">
        <v>4.5107218399999995</v>
      </c>
      <c r="Z13" s="10">
        <v>4.5643260099999994</v>
      </c>
      <c r="AA13" s="10">
        <v>6.4299341399999994</v>
      </c>
      <c r="AB13" s="10">
        <v>16.201026479999999</v>
      </c>
      <c r="AC13" s="10">
        <v>19.79</v>
      </c>
      <c r="AD13" s="10">
        <v>6.3544024800000001</v>
      </c>
      <c r="AE13" s="10">
        <v>4.3013771900000002</v>
      </c>
      <c r="AF13" s="10">
        <v>4.8687815199999998</v>
      </c>
      <c r="AG13" s="10">
        <v>5.3426608399999997</v>
      </c>
      <c r="AH13" s="10">
        <v>4.5706366100000002</v>
      </c>
      <c r="AI13" s="10">
        <v>4.3687067300000004</v>
      </c>
      <c r="AJ13" s="10">
        <v>4.87200568</v>
      </c>
      <c r="AK13" s="11">
        <v>5.4263422300000004</v>
      </c>
      <c r="AL13" s="10">
        <v>5.3166750299999999</v>
      </c>
      <c r="AM13" s="10">
        <v>12.07481347</v>
      </c>
      <c r="AN13" s="10">
        <v>51.69316139</v>
      </c>
      <c r="AO13" s="10">
        <v>21.822270890000002</v>
      </c>
      <c r="AP13" s="10">
        <v>11.22603528</v>
      </c>
      <c r="AQ13" s="10">
        <v>10.031712820000001</v>
      </c>
      <c r="AR13" s="10">
        <v>10.17153444</v>
      </c>
      <c r="AS13" s="10">
        <v>10.32657732</v>
      </c>
      <c r="AT13" s="10">
        <v>8.5769559900000001</v>
      </c>
      <c r="AU13" s="10">
        <v>7.2463780700000004</v>
      </c>
      <c r="AV13" s="10">
        <v>7.2259652800000005</v>
      </c>
      <c r="AW13" s="11">
        <v>6.9733762199999996</v>
      </c>
      <c r="AX13" s="10">
        <v>11.89761794</v>
      </c>
      <c r="AY13" s="10">
        <v>23.123231539999999</v>
      </c>
      <c r="AZ13" s="10">
        <v>79.411756760000003</v>
      </c>
      <c r="BA13" s="10">
        <v>38.708099529999998</v>
      </c>
      <c r="BB13" s="10">
        <v>16.870236899999998</v>
      </c>
      <c r="BC13" s="10">
        <v>14.10161199</v>
      </c>
      <c r="BD13" s="10">
        <v>14.60474054</v>
      </c>
      <c r="BE13" s="10">
        <v>16.533563170000001</v>
      </c>
      <c r="BF13" s="10">
        <v>13.86054947</v>
      </c>
      <c r="BG13" s="10">
        <v>13.640471849999999</v>
      </c>
      <c r="BH13" s="10">
        <v>12.350549990000001</v>
      </c>
      <c r="BI13" s="11">
        <v>12.62276426</v>
      </c>
      <c r="BJ13" s="10">
        <v>26.47717596</v>
      </c>
      <c r="BK13" s="10">
        <v>44.872825829999996</v>
      </c>
      <c r="BL13" s="10">
        <v>146.96443877999999</v>
      </c>
      <c r="BM13" s="10">
        <v>106.67418196999999</v>
      </c>
      <c r="BN13" s="10">
        <v>58.752218859999999</v>
      </c>
      <c r="BO13" s="10">
        <v>61.339927770000003</v>
      </c>
      <c r="BP13" s="10">
        <v>83.823559400000008</v>
      </c>
      <c r="BQ13" s="10">
        <v>113.53998014</v>
      </c>
      <c r="BR13" s="10">
        <v>83.247767060000001</v>
      </c>
      <c r="BS13" s="10">
        <v>108.91752404</v>
      </c>
      <c r="BT13" s="10">
        <v>149.10170038999999</v>
      </c>
      <c r="BU13" s="11">
        <v>218.25660171000001</v>
      </c>
      <c r="BV13" s="10">
        <v>204.70950343999999</v>
      </c>
      <c r="BW13" s="10">
        <v>287.58681551999996</v>
      </c>
      <c r="BX13" s="10">
        <v>824.28654711000001</v>
      </c>
      <c r="BY13" s="10">
        <v>395.60924224000001</v>
      </c>
      <c r="BZ13" s="10">
        <v>238.31705356999998</v>
      </c>
      <c r="CA13" s="10">
        <v>182.64925753999998</v>
      </c>
      <c r="CB13" s="10">
        <v>161.85895264999999</v>
      </c>
      <c r="CC13" s="10">
        <v>177.59650481</v>
      </c>
      <c r="CD13" s="10">
        <v>153.04957532</v>
      </c>
      <c r="CE13" s="10">
        <v>147.11220756999998</v>
      </c>
      <c r="CF13" s="10">
        <v>147.37529584000001</v>
      </c>
      <c r="CG13" s="11">
        <v>161.23262403999999</v>
      </c>
      <c r="CH13" s="10">
        <v>177.77756762000001</v>
      </c>
      <c r="CI13" s="10">
        <v>331.47542935000001</v>
      </c>
      <c r="CJ13" s="10">
        <v>1204.5789452899999</v>
      </c>
      <c r="CK13" s="10">
        <v>506.49486937</v>
      </c>
      <c r="CL13" s="10">
        <v>293.11490067</v>
      </c>
      <c r="CM13" s="10">
        <v>270.88436797000003</v>
      </c>
      <c r="CN13" s="10">
        <v>229.44345608</v>
      </c>
      <c r="CO13" s="10">
        <v>258.17669216000002</v>
      </c>
    </row>
    <row r="14" spans="1:93" s="12" customFormat="1" x14ac:dyDescent="0.2">
      <c r="A14" s="9" t="s">
        <v>11</v>
      </c>
      <c r="B14" s="10">
        <v>24.767326000000001</v>
      </c>
      <c r="C14" s="10">
        <v>29.877020000000002</v>
      </c>
      <c r="D14" s="10">
        <v>642.94626000000005</v>
      </c>
      <c r="E14" s="10">
        <v>75.537728000000001</v>
      </c>
      <c r="F14" s="10">
        <v>166.12841399999999</v>
      </c>
      <c r="G14" s="10">
        <v>54.316682</v>
      </c>
      <c r="H14" s="10">
        <v>157.35829899999999</v>
      </c>
      <c r="I14" s="10">
        <v>53.781815999999999</v>
      </c>
      <c r="J14" s="10">
        <v>155.425882</v>
      </c>
      <c r="K14" s="10">
        <v>55.180391</v>
      </c>
      <c r="L14" s="10">
        <v>156.842263</v>
      </c>
      <c r="M14" s="11">
        <v>86.291240999999999</v>
      </c>
      <c r="N14" s="10">
        <v>41.864981999999998</v>
      </c>
      <c r="O14" s="10">
        <v>77.772565999999998</v>
      </c>
      <c r="P14" s="10">
        <v>542.79940999999997</v>
      </c>
      <c r="Q14" s="10">
        <v>249.66526500000001</v>
      </c>
      <c r="R14" s="10">
        <v>222.57397800000001</v>
      </c>
      <c r="S14" s="10">
        <v>105.00744400000001</v>
      </c>
      <c r="T14" s="10">
        <v>199.93575000000001</v>
      </c>
      <c r="U14" s="10">
        <v>86.616592999999995</v>
      </c>
      <c r="V14" s="10">
        <v>211.60414599999999</v>
      </c>
      <c r="W14" s="10">
        <v>88.987775999999997</v>
      </c>
      <c r="X14" s="10">
        <v>203.81873300000001</v>
      </c>
      <c r="Y14" s="11">
        <v>161.11257599999999</v>
      </c>
      <c r="Z14" s="10">
        <v>61.482934</v>
      </c>
      <c r="AA14" s="10">
        <v>51.977279000000003</v>
      </c>
      <c r="AB14" s="10">
        <v>1046.76235</v>
      </c>
      <c r="AC14" s="10">
        <v>177.04</v>
      </c>
      <c r="AD14" s="10">
        <v>275.74155999999999</v>
      </c>
      <c r="AE14" s="10">
        <v>131.759614</v>
      </c>
      <c r="AF14" s="10">
        <v>313.17005699999999</v>
      </c>
      <c r="AG14" s="10">
        <v>123.376283</v>
      </c>
      <c r="AH14" s="10">
        <v>296.39308499999999</v>
      </c>
      <c r="AI14" s="10">
        <v>118.12746</v>
      </c>
      <c r="AJ14" s="10">
        <v>320.24994199999998</v>
      </c>
      <c r="AK14" s="11">
        <v>240.338176</v>
      </c>
      <c r="AL14" s="10">
        <v>83.236124000000004</v>
      </c>
      <c r="AM14" s="10">
        <v>327.08819599999998</v>
      </c>
      <c r="AN14" s="10">
        <v>1377.477738</v>
      </c>
      <c r="AO14" s="10">
        <v>214.67029757</v>
      </c>
      <c r="AP14" s="10">
        <v>429.43915399999997</v>
      </c>
      <c r="AQ14" s="10">
        <v>192.503829</v>
      </c>
      <c r="AR14" s="10">
        <v>423.56948299999999</v>
      </c>
      <c r="AS14" s="10">
        <v>208.78316799999999</v>
      </c>
      <c r="AT14" s="10">
        <v>454.53885100000002</v>
      </c>
      <c r="AU14" s="10">
        <v>212.98731900000001</v>
      </c>
      <c r="AV14" s="10">
        <v>464.89277700000002</v>
      </c>
      <c r="AW14" s="11">
        <v>365.06222300000002</v>
      </c>
      <c r="AX14" s="10">
        <v>186.48601500000001</v>
      </c>
      <c r="AY14" s="10">
        <v>2559.3936509999999</v>
      </c>
      <c r="AZ14" s="10">
        <v>663.30668800000001</v>
      </c>
      <c r="BA14" s="10">
        <v>713.81585500000006</v>
      </c>
      <c r="BB14" s="10">
        <v>316.76508799999999</v>
      </c>
      <c r="BC14" s="10">
        <v>776.90044599999999</v>
      </c>
      <c r="BD14" s="10">
        <v>346.19145800000001</v>
      </c>
      <c r="BE14" s="10">
        <v>821.29462899999999</v>
      </c>
      <c r="BF14" s="10">
        <v>400.57321999999999</v>
      </c>
      <c r="BG14" s="10">
        <v>853.342354</v>
      </c>
      <c r="BH14" s="10">
        <v>540.95624499999997</v>
      </c>
      <c r="BI14" s="11">
        <v>1261.895438</v>
      </c>
      <c r="BJ14" s="10">
        <v>887.24566800000002</v>
      </c>
      <c r="BK14" s="10">
        <v>7059.9881230000001</v>
      </c>
      <c r="BL14" s="10">
        <v>1607.9015609999999</v>
      </c>
      <c r="BM14" s="10">
        <v>2278.9519519999999</v>
      </c>
      <c r="BN14" s="10">
        <v>1178.0377309999999</v>
      </c>
      <c r="BO14" s="10">
        <v>2207.500571</v>
      </c>
      <c r="BP14" s="10">
        <v>1302.665094</v>
      </c>
      <c r="BQ14" s="10">
        <v>2512.360025</v>
      </c>
      <c r="BR14" s="10">
        <v>1156.2556609999999</v>
      </c>
      <c r="BS14" s="10">
        <v>2433.5322660000002</v>
      </c>
      <c r="BT14" s="10">
        <v>1189.744723</v>
      </c>
      <c r="BU14" s="11">
        <v>3480.7161310000001</v>
      </c>
      <c r="BV14" s="10">
        <v>1685.7638899999999</v>
      </c>
      <c r="BW14" s="10">
        <v>18424.955131999999</v>
      </c>
      <c r="BX14" s="10">
        <v>3316.3430669999998</v>
      </c>
      <c r="BY14" s="10">
        <v>4726.6892809999999</v>
      </c>
      <c r="BZ14" s="10">
        <v>1813.967911</v>
      </c>
      <c r="CA14" s="10">
        <v>3865.0784159999998</v>
      </c>
      <c r="CB14" s="10">
        <v>1721.2307719999999</v>
      </c>
      <c r="CC14" s="10">
        <v>4100.2921485999996</v>
      </c>
      <c r="CD14" s="10">
        <v>1835.1405999000001</v>
      </c>
      <c r="CE14" s="10">
        <v>4174.8540134000004</v>
      </c>
      <c r="CF14" s="10">
        <v>1792.1549514000001</v>
      </c>
      <c r="CG14" s="11">
        <v>5555.5565999999999</v>
      </c>
      <c r="CH14" s="10">
        <v>2083.6220026999999</v>
      </c>
      <c r="CI14" s="10">
        <v>23855.459072000001</v>
      </c>
      <c r="CJ14" s="10">
        <v>6685.7805257999999</v>
      </c>
      <c r="CK14" s="10">
        <v>5994.3560237000002</v>
      </c>
      <c r="CL14" s="10">
        <v>2742.9332244000002</v>
      </c>
      <c r="CM14" s="10">
        <v>5982.7230890000001</v>
      </c>
      <c r="CN14" s="10">
        <v>2914.0033166999997</v>
      </c>
      <c r="CO14" s="10">
        <v>6080.1966034999996</v>
      </c>
    </row>
    <row r="15" spans="1:93" s="12" customFormat="1" x14ac:dyDescent="0.2">
      <c r="A15" s="9" t="s">
        <v>12</v>
      </c>
      <c r="B15" s="10">
        <v>30.529112999999999</v>
      </c>
      <c r="C15" s="10">
        <v>58.207782000000002</v>
      </c>
      <c r="D15" s="10">
        <v>31.294018999999999</v>
      </c>
      <c r="E15" s="10">
        <v>23.429119</v>
      </c>
      <c r="F15" s="10">
        <v>22.967219</v>
      </c>
      <c r="G15" s="10">
        <v>23.328142</v>
      </c>
      <c r="H15" s="10">
        <v>24.985005999999998</v>
      </c>
      <c r="I15" s="10">
        <v>22.605118000000001</v>
      </c>
      <c r="J15" s="10">
        <v>21.987881999999999</v>
      </c>
      <c r="K15" s="10">
        <v>8.5015800000000006</v>
      </c>
      <c r="L15" s="10">
        <v>6.3604620000000001</v>
      </c>
      <c r="M15" s="11">
        <v>9.092708</v>
      </c>
      <c r="N15" s="10">
        <v>51.255770329999997</v>
      </c>
      <c r="O15" s="10">
        <v>206.41951212000001</v>
      </c>
      <c r="P15" s="10">
        <v>78.133499959999995</v>
      </c>
      <c r="Q15" s="10">
        <v>3.6501701</v>
      </c>
      <c r="R15" s="10">
        <v>8.4292655399999994</v>
      </c>
      <c r="S15" s="10">
        <v>14.787890300000001</v>
      </c>
      <c r="T15" s="10">
        <v>19.83236196</v>
      </c>
      <c r="U15" s="10">
        <v>18.729548920000003</v>
      </c>
      <c r="V15" s="10">
        <v>17.465822729999999</v>
      </c>
      <c r="W15" s="10">
        <v>14.930144910000001</v>
      </c>
      <c r="X15" s="10">
        <v>13.301793589999999</v>
      </c>
      <c r="Y15" s="11">
        <v>22.406209029999999</v>
      </c>
      <c r="Z15" s="10">
        <v>50.238127970000001</v>
      </c>
      <c r="AA15" s="10">
        <v>355.77063016000005</v>
      </c>
      <c r="AB15" s="10">
        <v>186.14822461000003</v>
      </c>
      <c r="AC15" s="10">
        <v>23.45</v>
      </c>
      <c r="AD15" s="10">
        <v>21.428325789999999</v>
      </c>
      <c r="AE15" s="10">
        <v>23.942009769999999</v>
      </c>
      <c r="AF15" s="10">
        <v>26.03852418</v>
      </c>
      <c r="AG15" s="10">
        <v>26.448454640000001</v>
      </c>
      <c r="AH15" s="10">
        <v>23.762521840000002</v>
      </c>
      <c r="AI15" s="10">
        <v>21.946126079999999</v>
      </c>
      <c r="AJ15" s="10">
        <v>18.922354540000001</v>
      </c>
      <c r="AK15" s="11">
        <v>19.792743770000001</v>
      </c>
      <c r="AL15" s="10">
        <v>378.27739210999999</v>
      </c>
      <c r="AM15" s="10">
        <v>397.93784122000005</v>
      </c>
      <c r="AN15" s="10">
        <v>422.94342432999997</v>
      </c>
      <c r="AO15" s="10">
        <v>37.734847170000002</v>
      </c>
      <c r="AP15" s="10">
        <v>27.796661059999998</v>
      </c>
      <c r="AQ15" s="10">
        <v>29.697889180000001</v>
      </c>
      <c r="AR15" s="10">
        <v>27.077669760000003</v>
      </c>
      <c r="AS15" s="10">
        <v>34.45320753</v>
      </c>
      <c r="AT15" s="10">
        <v>27.61117668</v>
      </c>
      <c r="AU15" s="10">
        <v>25.241349460000002</v>
      </c>
      <c r="AV15" s="10">
        <v>21.565483050000001</v>
      </c>
      <c r="AW15" s="11">
        <v>24.565462480000001</v>
      </c>
      <c r="AX15" s="10">
        <v>96.6</v>
      </c>
      <c r="AY15" s="10">
        <v>1094.5999999999999</v>
      </c>
      <c r="AZ15" s="10">
        <v>1060.4000000000001</v>
      </c>
      <c r="BA15" s="10">
        <v>40.700000000000003</v>
      </c>
      <c r="BB15" s="10">
        <v>32.9</v>
      </c>
      <c r="BC15" s="10">
        <v>31.1</v>
      </c>
      <c r="BD15" s="10">
        <v>37.4</v>
      </c>
      <c r="BE15" s="10">
        <v>36.799999999999997</v>
      </c>
      <c r="BF15" s="10">
        <v>31.1</v>
      </c>
      <c r="BG15" s="10">
        <v>29.9</v>
      </c>
      <c r="BH15" s="10">
        <v>30.1</v>
      </c>
      <c r="BI15" s="11">
        <v>48</v>
      </c>
      <c r="BJ15" s="10">
        <v>1906.4230443299998</v>
      </c>
      <c r="BK15" s="10">
        <v>1754.16952406</v>
      </c>
      <c r="BL15" s="10">
        <v>1688.92366219</v>
      </c>
      <c r="BM15" s="10">
        <v>97.762335480000004</v>
      </c>
      <c r="BN15" s="10">
        <v>98.15234839</v>
      </c>
      <c r="BO15" s="10">
        <v>108.04869626</v>
      </c>
      <c r="BP15" s="10">
        <v>109.50997639000001</v>
      </c>
      <c r="BQ15" s="10">
        <v>96.851147359999999</v>
      </c>
      <c r="BR15" s="10">
        <v>102.97839653</v>
      </c>
      <c r="BS15" s="10">
        <v>123.00548356</v>
      </c>
      <c r="BT15" s="10">
        <v>82.313540110000005</v>
      </c>
      <c r="BU15" s="11">
        <v>94.485350799999992</v>
      </c>
      <c r="BV15" s="10">
        <v>2345.9539494400001</v>
      </c>
      <c r="BW15" s="10">
        <v>3028.6306149699999</v>
      </c>
      <c r="BX15" s="10">
        <v>1850.1253373</v>
      </c>
      <c r="BY15" s="10">
        <v>1671.3015068900002</v>
      </c>
      <c r="BZ15" s="10">
        <v>1637.4337797799999</v>
      </c>
      <c r="CA15" s="10">
        <v>1630.51368596</v>
      </c>
      <c r="CB15" s="10">
        <v>1640.0115383099999</v>
      </c>
      <c r="CC15" s="10">
        <v>1639.4060429799999</v>
      </c>
      <c r="CD15" s="10">
        <v>348.59611854000002</v>
      </c>
      <c r="CE15" s="10">
        <v>332.61516826999997</v>
      </c>
      <c r="CF15" s="10">
        <v>252.09053446000001</v>
      </c>
      <c r="CG15" s="11">
        <v>370.54094326000001</v>
      </c>
      <c r="CH15" s="10">
        <v>3004.0058206599997</v>
      </c>
      <c r="CI15" s="10">
        <v>2522.6775955399999</v>
      </c>
      <c r="CJ15" s="10">
        <v>1172.27233858</v>
      </c>
      <c r="CK15" s="10">
        <v>678.59135564999997</v>
      </c>
      <c r="CL15" s="10">
        <v>534.69132932000002</v>
      </c>
      <c r="CM15" s="10">
        <v>633.05421321000006</v>
      </c>
      <c r="CN15" s="10">
        <v>1420.95118499</v>
      </c>
      <c r="CO15" s="10">
        <v>1366.3251070899998</v>
      </c>
    </row>
    <row r="16" spans="1:93" s="12" customFormat="1" x14ac:dyDescent="0.2">
      <c r="A16" s="9" t="s">
        <v>13</v>
      </c>
      <c r="B16" s="10">
        <v>175.10710136</v>
      </c>
      <c r="C16" s="10">
        <v>56.68035201</v>
      </c>
      <c r="D16" s="10">
        <v>75.255004010000007</v>
      </c>
      <c r="E16" s="10">
        <v>111.78387947</v>
      </c>
      <c r="F16" s="10">
        <v>51.461423590000003</v>
      </c>
      <c r="G16" s="10">
        <v>45.854002000000001</v>
      </c>
      <c r="H16" s="10">
        <v>135.94524742999999</v>
      </c>
      <c r="I16" s="10">
        <v>90.28252861</v>
      </c>
      <c r="J16" s="10">
        <v>54.828698270000004</v>
      </c>
      <c r="K16" s="10">
        <v>52.358217770000003</v>
      </c>
      <c r="L16" s="10">
        <v>53.387486179999996</v>
      </c>
      <c r="M16" s="11">
        <v>65.661063290000001</v>
      </c>
      <c r="N16" s="10">
        <v>297.24906917000004</v>
      </c>
      <c r="O16" s="10">
        <v>113.96731417000001</v>
      </c>
      <c r="P16" s="10">
        <v>66.054940850000008</v>
      </c>
      <c r="Q16" s="10">
        <v>36.512969950000006</v>
      </c>
      <c r="R16" s="10">
        <v>39.260601819999998</v>
      </c>
      <c r="S16" s="10">
        <v>64.749129519999997</v>
      </c>
      <c r="T16" s="10">
        <v>250.1830296</v>
      </c>
      <c r="U16" s="10">
        <v>96.894281650000011</v>
      </c>
      <c r="V16" s="10">
        <v>72.846340720000001</v>
      </c>
      <c r="W16" s="10">
        <v>65.161349279999996</v>
      </c>
      <c r="X16" s="10">
        <v>63.232778869999997</v>
      </c>
      <c r="Y16" s="11">
        <v>94.945391239999992</v>
      </c>
      <c r="Z16" s="10">
        <v>338.35920516000004</v>
      </c>
      <c r="AA16" s="10">
        <v>153.38997087999999</v>
      </c>
      <c r="AB16" s="10">
        <v>153.70049266999999</v>
      </c>
      <c r="AC16" s="10">
        <v>114.55287478</v>
      </c>
      <c r="AD16" s="10">
        <v>101.02291887</v>
      </c>
      <c r="AE16" s="10">
        <v>105.42289762</v>
      </c>
      <c r="AF16" s="10">
        <v>325.56699585000001</v>
      </c>
      <c r="AG16" s="10">
        <v>211.00811115000002</v>
      </c>
      <c r="AH16" s="10">
        <v>139.93084021999999</v>
      </c>
      <c r="AI16" s="10">
        <v>132.53319286999999</v>
      </c>
      <c r="AJ16" s="10">
        <v>138.05957512000001</v>
      </c>
      <c r="AK16" s="11">
        <v>146.47011058000001</v>
      </c>
      <c r="AL16" s="10">
        <v>600.42970176999995</v>
      </c>
      <c r="AM16" s="10">
        <v>201.5304476</v>
      </c>
      <c r="AN16" s="10">
        <v>260.03283185999999</v>
      </c>
      <c r="AO16" s="10">
        <v>225.22064609</v>
      </c>
      <c r="AP16" s="10">
        <v>199.97207818000001</v>
      </c>
      <c r="AQ16" s="10">
        <v>211.82827294000001</v>
      </c>
      <c r="AR16" s="10">
        <v>628.76318617999993</v>
      </c>
      <c r="AS16" s="10">
        <v>297.87162085</v>
      </c>
      <c r="AT16" s="10">
        <v>195.52865753999998</v>
      </c>
      <c r="AU16" s="10">
        <v>154.76651108999999</v>
      </c>
      <c r="AV16" s="10">
        <v>176.75542737999999</v>
      </c>
      <c r="AW16" s="11">
        <v>240.50824408000003</v>
      </c>
      <c r="AX16" s="10">
        <v>1030.8909203999999</v>
      </c>
      <c r="AY16" s="10">
        <v>404.13220695000001</v>
      </c>
      <c r="AZ16" s="10">
        <v>456.15057107999996</v>
      </c>
      <c r="BA16" s="10">
        <v>290.84927204000002</v>
      </c>
      <c r="BB16" s="10">
        <v>292.76945343</v>
      </c>
      <c r="BC16" s="10">
        <v>380.33926551000002</v>
      </c>
      <c r="BD16" s="10">
        <v>1001.2288593300001</v>
      </c>
      <c r="BE16" s="10">
        <v>496.42368011000002</v>
      </c>
      <c r="BF16" s="10">
        <v>427.30636570999997</v>
      </c>
      <c r="BG16" s="10">
        <v>427.02919242000002</v>
      </c>
      <c r="BH16" s="10">
        <v>390.51249481000002</v>
      </c>
      <c r="BI16" s="11">
        <v>563.35034417999998</v>
      </c>
      <c r="BJ16" s="10">
        <v>2356.48820385</v>
      </c>
      <c r="BK16" s="10">
        <v>936.11731183000006</v>
      </c>
      <c r="BL16" s="10">
        <v>1070.69993271</v>
      </c>
      <c r="BM16" s="10">
        <v>953.32338766999999</v>
      </c>
      <c r="BN16" s="10">
        <v>891.90475051999999</v>
      </c>
      <c r="BO16" s="10">
        <v>853.11912620999999</v>
      </c>
      <c r="BP16" s="10">
        <v>5370.29155584</v>
      </c>
      <c r="BQ16" s="10">
        <v>2017.3880830399999</v>
      </c>
      <c r="BR16" s="10">
        <v>1621.62092102</v>
      </c>
      <c r="BS16" s="10">
        <v>1469.0454677600001</v>
      </c>
      <c r="BT16" s="10">
        <v>1243.7569540699999</v>
      </c>
      <c r="BU16" s="11">
        <v>1192.7251520100001</v>
      </c>
      <c r="BV16" s="10">
        <v>8198.4512317999997</v>
      </c>
      <c r="BW16" s="10">
        <v>2964.5974477600003</v>
      </c>
      <c r="BX16" s="10">
        <v>2401.7738403200001</v>
      </c>
      <c r="BY16" s="10">
        <v>2254.1146178399999</v>
      </c>
      <c r="BZ16" s="10">
        <v>2022.79285925</v>
      </c>
      <c r="CA16" s="10">
        <v>2029.5298198800001</v>
      </c>
      <c r="CB16" s="10">
        <v>5266.64986107</v>
      </c>
      <c r="CC16" s="10">
        <v>2669.8830463200002</v>
      </c>
      <c r="CD16" s="10">
        <v>2427.0737551100001</v>
      </c>
      <c r="CE16" s="10">
        <v>2187.6975092299999</v>
      </c>
      <c r="CF16" s="10">
        <v>1839.50098385</v>
      </c>
      <c r="CG16" s="11">
        <v>2070.9698312199998</v>
      </c>
      <c r="CH16" s="10">
        <v>12129.15347107</v>
      </c>
      <c r="CI16" s="10">
        <v>5276.7164428699998</v>
      </c>
      <c r="CJ16" s="10">
        <v>2887.1373084299998</v>
      </c>
      <c r="CK16" s="10">
        <v>3254.3533235800001</v>
      </c>
      <c r="CL16" s="10">
        <v>2827.9769214299999</v>
      </c>
      <c r="CM16" s="10">
        <v>2803.4029759299997</v>
      </c>
      <c r="CN16" s="10">
        <v>6345.12945451</v>
      </c>
      <c r="CO16" s="10"/>
    </row>
    <row r="17" spans="1:93" s="12" customFormat="1" x14ac:dyDescent="0.2">
      <c r="A17" s="9" t="s">
        <v>14</v>
      </c>
      <c r="B17" s="10">
        <v>171.31862045</v>
      </c>
      <c r="C17" s="10">
        <v>217.07602033000001</v>
      </c>
      <c r="D17" s="10">
        <v>91.545726760000008</v>
      </c>
      <c r="E17" s="10">
        <v>35.596173869999994</v>
      </c>
      <c r="F17" s="10">
        <v>54.455204049999999</v>
      </c>
      <c r="G17" s="10">
        <v>29.702272920000002</v>
      </c>
      <c r="H17" s="10">
        <v>58.685312700000004</v>
      </c>
      <c r="I17" s="10">
        <v>33.671980640000001</v>
      </c>
      <c r="J17" s="10">
        <v>56.896616020000003</v>
      </c>
      <c r="K17" s="10">
        <v>30.544269850000003</v>
      </c>
      <c r="L17" s="10">
        <v>53.134214549999996</v>
      </c>
      <c r="M17" s="11">
        <v>31.991452519999999</v>
      </c>
      <c r="N17" s="10">
        <v>290.14831864999996</v>
      </c>
      <c r="O17" s="10">
        <v>232.55652628999999</v>
      </c>
      <c r="P17" s="10">
        <v>148.12159849</v>
      </c>
      <c r="Q17" s="10">
        <v>14.72988599</v>
      </c>
      <c r="R17" s="10">
        <v>44.439801060000001</v>
      </c>
      <c r="S17" s="10">
        <v>29.343781800000002</v>
      </c>
      <c r="T17" s="10">
        <v>63.781458350000001</v>
      </c>
      <c r="U17" s="10">
        <v>39.48080667</v>
      </c>
      <c r="V17" s="10">
        <v>73.238517270000003</v>
      </c>
      <c r="W17" s="10">
        <v>45.416983649999999</v>
      </c>
      <c r="X17" s="10">
        <v>91.116015310000009</v>
      </c>
      <c r="Y17" s="11">
        <v>51.849299340000002</v>
      </c>
      <c r="Z17" s="10">
        <v>252.66966821</v>
      </c>
      <c r="AA17" s="10">
        <v>391.43316813999996</v>
      </c>
      <c r="AB17" s="10">
        <v>267.00595675</v>
      </c>
      <c r="AC17" s="10">
        <v>164.39</v>
      </c>
      <c r="AD17" s="10">
        <v>125.4620348</v>
      </c>
      <c r="AE17" s="10">
        <v>69.587814930000008</v>
      </c>
      <c r="AF17" s="10">
        <v>127.05258671</v>
      </c>
      <c r="AG17" s="10">
        <v>68.886686319999995</v>
      </c>
      <c r="AH17" s="10">
        <v>140.28205113999999</v>
      </c>
      <c r="AI17" s="10">
        <v>69.838366590000007</v>
      </c>
      <c r="AJ17" s="10">
        <v>133.33942468999999</v>
      </c>
      <c r="AK17" s="11">
        <v>94.75568856999999</v>
      </c>
      <c r="AL17" s="10">
        <v>329.55647462000002</v>
      </c>
      <c r="AM17" s="10">
        <v>422.20273617999999</v>
      </c>
      <c r="AN17" s="10">
        <v>585.49403636</v>
      </c>
      <c r="AO17" s="10">
        <v>271.23175760999999</v>
      </c>
      <c r="AP17" s="10">
        <v>173.21391623</v>
      </c>
      <c r="AQ17" s="10">
        <v>109.32559472</v>
      </c>
      <c r="AR17" s="10">
        <v>176.55014693000001</v>
      </c>
      <c r="AS17" s="10">
        <v>123.89222595999999</v>
      </c>
      <c r="AT17" s="10">
        <v>183.71913674999999</v>
      </c>
      <c r="AU17" s="10">
        <v>119.39325122</v>
      </c>
      <c r="AV17" s="10">
        <v>187.55224425999998</v>
      </c>
      <c r="AW17" s="11">
        <v>153.45648581999998</v>
      </c>
      <c r="AX17" s="10">
        <v>445.24111720999997</v>
      </c>
      <c r="AY17" s="10">
        <v>683.25725577999992</v>
      </c>
      <c r="AZ17" s="10">
        <v>1037.6837351199999</v>
      </c>
      <c r="BA17" s="10">
        <v>440.84997026999997</v>
      </c>
      <c r="BB17" s="10">
        <v>367.38944057999998</v>
      </c>
      <c r="BC17" s="10">
        <v>161.52554269999999</v>
      </c>
      <c r="BD17" s="10">
        <v>307.65471387999997</v>
      </c>
      <c r="BE17" s="10">
        <v>243.36019652000002</v>
      </c>
      <c r="BF17" s="10">
        <v>324.89906416000002</v>
      </c>
      <c r="BG17" s="10">
        <v>208.58745221999999</v>
      </c>
      <c r="BH17" s="10">
        <v>323.26597752999999</v>
      </c>
      <c r="BI17" s="11">
        <v>175.56300632</v>
      </c>
      <c r="BJ17" s="10">
        <v>1388.27954191</v>
      </c>
      <c r="BK17" s="10">
        <v>2531.8019696000001</v>
      </c>
      <c r="BL17" s="10">
        <v>680.12248557999999</v>
      </c>
      <c r="BM17" s="10">
        <v>491.90703081999999</v>
      </c>
      <c r="BN17" s="10">
        <v>576.41362814000001</v>
      </c>
      <c r="BO17" s="10">
        <v>567.13715098</v>
      </c>
      <c r="BP17" s="10">
        <v>791.47492289000002</v>
      </c>
      <c r="BQ17" s="10">
        <v>794.92730286999995</v>
      </c>
      <c r="BR17" s="10">
        <v>917.0657774199999</v>
      </c>
      <c r="BS17" s="10">
        <v>1000.73987926</v>
      </c>
      <c r="BT17" s="10">
        <v>985.30742279999993</v>
      </c>
      <c r="BU17" s="11">
        <v>997.21919302000003</v>
      </c>
      <c r="BV17" s="10">
        <v>4527.0244649799997</v>
      </c>
      <c r="BW17" s="10">
        <v>8889.0553074899999</v>
      </c>
      <c r="BX17" s="10">
        <v>3417.24863168</v>
      </c>
      <c r="BY17" s="10">
        <v>1495.208441</v>
      </c>
      <c r="BZ17" s="10">
        <v>1319.42629203</v>
      </c>
      <c r="CA17" s="10">
        <v>1252.49298924</v>
      </c>
      <c r="CB17" s="10">
        <v>1468.8466944000002</v>
      </c>
      <c r="CC17" s="10">
        <v>1399.5340585500001</v>
      </c>
      <c r="CD17" s="10">
        <v>1450.1250988299998</v>
      </c>
      <c r="CE17" s="10">
        <v>1492.2197628199999</v>
      </c>
      <c r="CF17" s="10">
        <v>1405.1642328199998</v>
      </c>
      <c r="CG17" s="11">
        <v>1530.48735276</v>
      </c>
      <c r="CH17" s="10">
        <v>6120.8724377600001</v>
      </c>
      <c r="CI17" s="10">
        <v>10023.29927743</v>
      </c>
      <c r="CJ17" s="10">
        <v>5307.7346618800002</v>
      </c>
      <c r="CK17" s="10">
        <v>2097.3846997300002</v>
      </c>
      <c r="CL17" s="10">
        <v>1652.8535801400001</v>
      </c>
      <c r="CM17" s="10">
        <v>1850.34912278</v>
      </c>
      <c r="CN17" s="10">
        <v>2046.22403379</v>
      </c>
      <c r="CO17" s="10">
        <v>2019.62725611</v>
      </c>
    </row>
    <row r="18" spans="1:93" s="12" customFormat="1" x14ac:dyDescent="0.2">
      <c r="A18" s="9" t="s">
        <v>30</v>
      </c>
      <c r="B18" s="10">
        <v>4.4511309800000003</v>
      </c>
      <c r="C18" s="10">
        <v>7.14742327</v>
      </c>
      <c r="D18" s="10">
        <v>29.890011009999998</v>
      </c>
      <c r="E18" s="10">
        <v>8.0609999999999999</v>
      </c>
      <c r="F18" s="10">
        <v>7.2910000000000004</v>
      </c>
      <c r="G18" s="10">
        <v>25.646139530000003</v>
      </c>
      <c r="H18" s="10">
        <v>7.532</v>
      </c>
      <c r="I18" s="10">
        <v>6.0768492500000004</v>
      </c>
      <c r="J18" s="10">
        <v>31.90320899</v>
      </c>
      <c r="K18" s="10">
        <v>7.38265087</v>
      </c>
      <c r="L18" s="10">
        <v>30.101258870000002</v>
      </c>
      <c r="M18" s="11">
        <v>15.514334550000001</v>
      </c>
      <c r="N18" s="10">
        <v>8.3952124999999995</v>
      </c>
      <c r="O18" s="10">
        <v>10.071683289999999</v>
      </c>
      <c r="P18" s="10">
        <v>30.958265269999998</v>
      </c>
      <c r="Q18" s="10">
        <v>6.6203440999999996</v>
      </c>
      <c r="R18" s="10">
        <v>10.896263640000001</v>
      </c>
      <c r="S18" s="10">
        <v>38.625302040000001</v>
      </c>
      <c r="T18" s="10">
        <v>11.704996289999999</v>
      </c>
      <c r="U18" s="10">
        <v>14.900146830000001</v>
      </c>
      <c r="V18" s="10">
        <v>33.791464959999999</v>
      </c>
      <c r="W18" s="10">
        <v>14.62261925</v>
      </c>
      <c r="X18" s="10">
        <v>38.828705049999996</v>
      </c>
      <c r="Y18" s="11">
        <v>17.254922199999999</v>
      </c>
      <c r="Z18" s="10">
        <v>16.607270710000002</v>
      </c>
      <c r="AA18" s="10">
        <v>16.50251866</v>
      </c>
      <c r="AB18" s="10">
        <v>55.856710970000002</v>
      </c>
      <c r="AC18" s="10">
        <v>20.584442119999999</v>
      </c>
      <c r="AD18" s="10">
        <v>16.70581108</v>
      </c>
      <c r="AE18" s="10">
        <v>43.943675220000003</v>
      </c>
      <c r="AF18" s="10">
        <v>14.77160003</v>
      </c>
      <c r="AG18" s="10">
        <v>18.013999999999999</v>
      </c>
      <c r="AH18" s="10">
        <v>46.4497809</v>
      </c>
      <c r="AI18" s="10">
        <v>18.175469140000001</v>
      </c>
      <c r="AJ18" s="10">
        <v>42.882511520000001</v>
      </c>
      <c r="AK18" s="11">
        <v>20.619568359999999</v>
      </c>
      <c r="AL18" s="10">
        <v>14.22617756</v>
      </c>
      <c r="AM18" s="10">
        <v>20.22342304</v>
      </c>
      <c r="AN18" s="10">
        <v>61.727367989999998</v>
      </c>
      <c r="AO18" s="10">
        <v>23.198408579999999</v>
      </c>
      <c r="AP18" s="10">
        <v>17.845523759999999</v>
      </c>
      <c r="AQ18" s="10">
        <v>44.532072040000003</v>
      </c>
      <c r="AR18" s="10">
        <v>17.950903189999998</v>
      </c>
      <c r="AS18" s="10">
        <v>19.71885773</v>
      </c>
      <c r="AT18" s="10">
        <v>51.119231190000001</v>
      </c>
      <c r="AU18" s="10">
        <v>20.293428609999999</v>
      </c>
      <c r="AV18" s="10">
        <v>52.015948109999997</v>
      </c>
      <c r="AW18" s="11">
        <v>26.732204450000001</v>
      </c>
      <c r="AX18" s="10">
        <v>15.569239509999999</v>
      </c>
      <c r="AY18" s="10">
        <v>29.833021280000001</v>
      </c>
      <c r="AZ18" s="10">
        <v>64.337933129999996</v>
      </c>
      <c r="BA18" s="10">
        <v>23.57789094</v>
      </c>
      <c r="BB18" s="10">
        <v>23.110793600000001</v>
      </c>
      <c r="BC18" s="10">
        <v>47.155294470000001</v>
      </c>
      <c r="BD18" s="10">
        <v>22.405013589999999</v>
      </c>
      <c r="BE18" s="10">
        <v>29.071642860000001</v>
      </c>
      <c r="BF18" s="10">
        <v>53.186963679999998</v>
      </c>
      <c r="BG18" s="10">
        <v>19.055429530000001</v>
      </c>
      <c r="BH18" s="10">
        <v>49.791384560000004</v>
      </c>
      <c r="BI18" s="11">
        <v>27.004152690000002</v>
      </c>
      <c r="BJ18" s="10">
        <v>24.218036059999999</v>
      </c>
      <c r="BK18" s="10">
        <v>35.376749680000003</v>
      </c>
      <c r="BL18" s="10">
        <v>76.263238650000005</v>
      </c>
      <c r="BM18" s="10">
        <v>39.29434809</v>
      </c>
      <c r="BN18" s="10">
        <v>36.04524782</v>
      </c>
      <c r="BO18" s="10">
        <v>55.545472869999998</v>
      </c>
      <c r="BP18" s="10">
        <v>40.532416560000001</v>
      </c>
      <c r="BQ18" s="10">
        <v>22.880234470000001</v>
      </c>
      <c r="BR18" s="10">
        <v>48.534788980000002</v>
      </c>
      <c r="BS18" s="10">
        <v>25.271294040000001</v>
      </c>
      <c r="BT18" s="10">
        <v>48.719163610000003</v>
      </c>
      <c r="BU18" s="11">
        <v>43.155917989999999</v>
      </c>
      <c r="BV18" s="10">
        <v>15.11320757</v>
      </c>
      <c r="BW18" s="10">
        <v>32.072138320000001</v>
      </c>
      <c r="BX18" s="10">
        <v>116.3198744</v>
      </c>
      <c r="BY18" s="10">
        <v>61.229018140000001</v>
      </c>
      <c r="BZ18" s="10">
        <v>44.343556990000003</v>
      </c>
      <c r="CA18" s="10">
        <v>130.54275132999999</v>
      </c>
      <c r="CB18" s="10">
        <v>38.848897299999997</v>
      </c>
      <c r="CC18" s="10">
        <v>36.402136090000006</v>
      </c>
      <c r="CD18" s="10">
        <v>128.00372471</v>
      </c>
      <c r="CE18" s="10">
        <v>64.174274629999999</v>
      </c>
      <c r="CF18" s="10">
        <v>116.35745925000001</v>
      </c>
      <c r="CG18" s="11">
        <v>64.060120710000007</v>
      </c>
      <c r="CH18" s="10">
        <v>33.419337040000002</v>
      </c>
      <c r="CI18" s="10">
        <v>57.724881329999995</v>
      </c>
      <c r="CJ18" s="10">
        <v>432.59613385</v>
      </c>
      <c r="CK18" s="10">
        <v>120.81257695000001</v>
      </c>
      <c r="CL18" s="10">
        <v>66.044892950000005</v>
      </c>
      <c r="CM18" s="10">
        <v>276.07882895999995</v>
      </c>
      <c r="CN18" s="10"/>
      <c r="CO18" s="10"/>
    </row>
    <row r="19" spans="1:93" s="12" customFormat="1" x14ac:dyDescent="0.2">
      <c r="A19" s="9" t="s">
        <v>16</v>
      </c>
      <c r="B19" s="10">
        <v>25.724380440000001</v>
      </c>
      <c r="C19" s="10">
        <v>58.858178979999998</v>
      </c>
      <c r="D19" s="10">
        <v>100.29232127</v>
      </c>
      <c r="E19" s="10">
        <v>25.406114300000002</v>
      </c>
      <c r="F19" s="10">
        <v>24.404453219999997</v>
      </c>
      <c r="G19" s="10">
        <v>31.298965500000001</v>
      </c>
      <c r="H19" s="10">
        <v>29.766518089999998</v>
      </c>
      <c r="I19" s="10">
        <v>32.853461129999999</v>
      </c>
      <c r="J19" s="10">
        <v>25.260799429999999</v>
      </c>
      <c r="K19" s="10">
        <v>26.532289389999999</v>
      </c>
      <c r="L19" s="10">
        <v>24.624346729999999</v>
      </c>
      <c r="M19" s="11">
        <v>28.814173910000001</v>
      </c>
      <c r="N19" s="10">
        <v>31.303446999999998</v>
      </c>
      <c r="O19" s="10">
        <v>75.606775999999996</v>
      </c>
      <c r="P19" s="10">
        <v>57.476177999999997</v>
      </c>
      <c r="Q19" s="10">
        <v>60.702086999999999</v>
      </c>
      <c r="R19" s="10">
        <v>55.278337000000001</v>
      </c>
      <c r="S19" s="10">
        <v>39.798907</v>
      </c>
      <c r="T19" s="10">
        <v>39.105581999999998</v>
      </c>
      <c r="U19" s="10">
        <v>40.009548000000002</v>
      </c>
      <c r="V19" s="10">
        <v>32.334449999999997</v>
      </c>
      <c r="W19" s="10">
        <v>39.298158000000001</v>
      </c>
      <c r="X19" s="10">
        <v>38.314656999999997</v>
      </c>
      <c r="Y19" s="11">
        <v>39.842117999999999</v>
      </c>
      <c r="Z19" s="10">
        <v>26.717319</v>
      </c>
      <c r="AA19" s="10">
        <v>244.99004500000001</v>
      </c>
      <c r="AB19" s="10">
        <v>64.946181999999993</v>
      </c>
      <c r="AC19" s="10">
        <v>44.59</v>
      </c>
      <c r="AD19" s="10">
        <v>40.17071</v>
      </c>
      <c r="AE19" s="10">
        <v>46.204855999999999</v>
      </c>
      <c r="AF19" s="10">
        <v>52.569096999999999</v>
      </c>
      <c r="AG19" s="10">
        <v>59.763368</v>
      </c>
      <c r="AH19" s="10">
        <v>50.809649999999998</v>
      </c>
      <c r="AI19" s="10">
        <v>41.028635999999999</v>
      </c>
      <c r="AJ19" s="10">
        <v>45.231335000000001</v>
      </c>
      <c r="AK19" s="11">
        <v>49.895929000000002</v>
      </c>
      <c r="AL19" s="10">
        <v>70.768799999999999</v>
      </c>
      <c r="AM19" s="10">
        <v>337.72596700000003</v>
      </c>
      <c r="AN19" s="10">
        <v>91.716166999999999</v>
      </c>
      <c r="AO19" s="10">
        <v>72.983079000000004</v>
      </c>
      <c r="AP19" s="10">
        <v>75.702932000000004</v>
      </c>
      <c r="AQ19" s="10">
        <v>77.669212999999999</v>
      </c>
      <c r="AR19" s="10">
        <v>93.360860000000002</v>
      </c>
      <c r="AS19" s="10">
        <v>105.320171</v>
      </c>
      <c r="AT19" s="10">
        <v>71.869566000000006</v>
      </c>
      <c r="AU19" s="10">
        <v>74.693797000000004</v>
      </c>
      <c r="AV19" s="10">
        <v>74.663032000000001</v>
      </c>
      <c r="AW19" s="11">
        <v>69.588342999999995</v>
      </c>
      <c r="AX19" s="10">
        <v>101.565865</v>
      </c>
      <c r="AY19" s="10">
        <v>546.31425100000001</v>
      </c>
      <c r="AZ19" s="10">
        <v>210.281858</v>
      </c>
      <c r="BA19" s="10">
        <v>130.95601500000001</v>
      </c>
      <c r="BB19" s="10">
        <v>144.95861600000001</v>
      </c>
      <c r="BC19" s="10">
        <v>143.95245499999999</v>
      </c>
      <c r="BD19" s="10">
        <v>164.60039699999999</v>
      </c>
      <c r="BE19" s="10">
        <v>183.25902300000001</v>
      </c>
      <c r="BF19" s="10">
        <v>143.69205199999999</v>
      </c>
      <c r="BG19" s="10">
        <v>143.119562</v>
      </c>
      <c r="BH19" s="10">
        <v>137.96746200000001</v>
      </c>
      <c r="BI19" s="11">
        <v>153.200095</v>
      </c>
      <c r="BJ19" s="10">
        <v>350.94917400000003</v>
      </c>
      <c r="BK19" s="10">
        <v>980.03452600000003</v>
      </c>
      <c r="BL19" s="10">
        <v>425.91706299999998</v>
      </c>
      <c r="BM19" s="10">
        <v>325.24893200000002</v>
      </c>
      <c r="BN19" s="10">
        <v>443.37895500000002</v>
      </c>
      <c r="BO19" s="10">
        <v>492.79062699999997</v>
      </c>
      <c r="BP19" s="10">
        <v>1083.999014</v>
      </c>
      <c r="BQ19" s="10">
        <v>687.66762500000004</v>
      </c>
      <c r="BR19" s="10">
        <v>361.19041700000002</v>
      </c>
      <c r="BS19" s="10">
        <v>338.669172</v>
      </c>
      <c r="BT19" s="10">
        <v>275.98005599999999</v>
      </c>
      <c r="BU19" s="11">
        <v>246.03314599999999</v>
      </c>
      <c r="BV19" s="10">
        <v>175.56475499999999</v>
      </c>
      <c r="BW19" s="10">
        <v>1740.3506560000001</v>
      </c>
      <c r="BX19" s="10">
        <v>944.55649900000003</v>
      </c>
      <c r="BY19" s="10">
        <v>533.83581600000002</v>
      </c>
      <c r="BZ19" s="10">
        <v>386.481649</v>
      </c>
      <c r="CA19" s="10">
        <v>345.108723</v>
      </c>
      <c r="CB19" s="10">
        <v>399.14415300000002</v>
      </c>
      <c r="CC19" s="10">
        <v>416.918207</v>
      </c>
      <c r="CD19" s="10">
        <v>332.42221499999999</v>
      </c>
      <c r="CE19" s="10">
        <v>319.643754</v>
      </c>
      <c r="CF19" s="10">
        <v>284.37060100000002</v>
      </c>
      <c r="CG19" s="11">
        <v>400.23287499999998</v>
      </c>
      <c r="CH19" s="10">
        <v>544.828486</v>
      </c>
      <c r="CI19" s="10">
        <v>2779.5726840000002</v>
      </c>
      <c r="CJ19" s="10">
        <v>1026.5759109999999</v>
      </c>
      <c r="CK19" s="10">
        <v>595.77557100000001</v>
      </c>
      <c r="CL19" s="10">
        <v>458.44131499999997</v>
      </c>
      <c r="CM19" s="10">
        <v>513.49724400000002</v>
      </c>
      <c r="CN19" s="10">
        <v>554.55339300000003</v>
      </c>
      <c r="CO19" s="10">
        <v>610.22809800000005</v>
      </c>
    </row>
    <row r="20" spans="1:93" s="12" customFormat="1" x14ac:dyDescent="0.2">
      <c r="A20" s="9" t="s">
        <v>17</v>
      </c>
      <c r="B20" s="10">
        <v>18.559058929999999</v>
      </c>
      <c r="C20" s="10">
        <v>52.12315212</v>
      </c>
      <c r="D20" s="10">
        <v>90.48252656999999</v>
      </c>
      <c r="E20" s="10">
        <v>33.01108945</v>
      </c>
      <c r="F20" s="10">
        <v>70.771477919999995</v>
      </c>
      <c r="G20" s="10">
        <v>23.70180457</v>
      </c>
      <c r="H20" s="10">
        <v>43.084000000000003</v>
      </c>
      <c r="I20" s="10">
        <v>23.024539619999999</v>
      </c>
      <c r="J20" s="10">
        <v>42.141910690000003</v>
      </c>
      <c r="K20" s="10">
        <v>18.096304790000001</v>
      </c>
      <c r="L20" s="10">
        <v>43.282614380000005</v>
      </c>
      <c r="M20" s="11">
        <v>30.040359170000002</v>
      </c>
      <c r="N20" s="10">
        <v>19.991081569999999</v>
      </c>
      <c r="O20" s="10">
        <v>31.226007629999998</v>
      </c>
      <c r="P20" s="10">
        <v>95.590075519999999</v>
      </c>
      <c r="Q20" s="10">
        <v>9.8225830500000004</v>
      </c>
      <c r="R20" s="10">
        <v>21.332134270000001</v>
      </c>
      <c r="S20" s="10">
        <v>67.094135219999998</v>
      </c>
      <c r="T20" s="10">
        <v>88.668690339999998</v>
      </c>
      <c r="U20" s="10">
        <v>32.748882930000001</v>
      </c>
      <c r="V20" s="10">
        <v>53.454160939999994</v>
      </c>
      <c r="W20" s="10">
        <v>29.994499039999997</v>
      </c>
      <c r="X20" s="10">
        <v>91.598272280000003</v>
      </c>
      <c r="Y20" s="11">
        <v>50.140016559999999</v>
      </c>
      <c r="Z20" s="10">
        <v>55.472791049999998</v>
      </c>
      <c r="AA20" s="10">
        <v>83.917433450000004</v>
      </c>
      <c r="AB20" s="10">
        <v>152.71417005999999</v>
      </c>
      <c r="AC20" s="10">
        <v>69.638163050000003</v>
      </c>
      <c r="AD20" s="10">
        <v>86.025286179999995</v>
      </c>
      <c r="AE20" s="10">
        <v>60.148645250000001</v>
      </c>
      <c r="AF20" s="10">
        <v>71.314756259999996</v>
      </c>
      <c r="AG20" s="10">
        <v>49.579033789999997</v>
      </c>
      <c r="AH20" s="10">
        <v>72.965282220000006</v>
      </c>
      <c r="AI20" s="10">
        <v>48.258864340000002</v>
      </c>
      <c r="AJ20" s="10">
        <v>69.108999999999995</v>
      </c>
      <c r="AK20" s="11">
        <v>79.741538950000006</v>
      </c>
      <c r="AL20" s="10">
        <v>44.620643000000001</v>
      </c>
      <c r="AM20" s="10">
        <v>84.456416300000001</v>
      </c>
      <c r="AN20" s="10">
        <v>195.24346377000001</v>
      </c>
      <c r="AO20" s="10">
        <v>77.34854455</v>
      </c>
      <c r="AP20" s="10">
        <v>121.2234181</v>
      </c>
      <c r="AQ20" s="10">
        <v>62.960681659999999</v>
      </c>
      <c r="AR20" s="10">
        <v>77.324029620000005</v>
      </c>
      <c r="AS20" s="10">
        <v>60.687658089999999</v>
      </c>
      <c r="AT20" s="10">
        <v>67.558980329999997</v>
      </c>
      <c r="AU20" s="10">
        <v>53.085654249999997</v>
      </c>
      <c r="AV20" s="10">
        <v>71.605728260000006</v>
      </c>
      <c r="AW20" s="11">
        <v>64.544031889999999</v>
      </c>
      <c r="AX20" s="10">
        <v>45.64563382</v>
      </c>
      <c r="AY20" s="10">
        <v>88.303254910000007</v>
      </c>
      <c r="AZ20" s="10">
        <v>324.55909485000001</v>
      </c>
      <c r="BA20" s="10">
        <v>96.983903409999996</v>
      </c>
      <c r="BB20" s="10">
        <v>197.50293515000001</v>
      </c>
      <c r="BC20" s="10">
        <v>83.996934730000007</v>
      </c>
      <c r="BD20" s="10">
        <v>91.274768829999999</v>
      </c>
      <c r="BE20" s="10">
        <v>112.10007379</v>
      </c>
      <c r="BF20" s="10">
        <v>94.652989379999994</v>
      </c>
      <c r="BG20" s="10">
        <v>73.474782660000002</v>
      </c>
      <c r="BH20" s="10">
        <v>86.240435849999997</v>
      </c>
      <c r="BI20" s="11">
        <v>134.46569203000001</v>
      </c>
      <c r="BJ20" s="10">
        <v>102.18049017</v>
      </c>
      <c r="BK20" s="10">
        <v>420.81814144999998</v>
      </c>
      <c r="BL20" s="10">
        <v>1390.3724360399999</v>
      </c>
      <c r="BM20" s="10">
        <v>334.19743622999999</v>
      </c>
      <c r="BN20" s="10">
        <v>780.59924467999997</v>
      </c>
      <c r="BO20" s="10">
        <v>262.49180637000001</v>
      </c>
      <c r="BP20" s="10">
        <v>430.16714162</v>
      </c>
      <c r="BQ20" s="10">
        <v>290.01691510000001</v>
      </c>
      <c r="BR20" s="10">
        <v>330.33126893999997</v>
      </c>
      <c r="BS20" s="10">
        <v>268.66175262000002</v>
      </c>
      <c r="BT20" s="10">
        <v>390.63054002999996</v>
      </c>
      <c r="BU20" s="11">
        <v>654.57581168000002</v>
      </c>
      <c r="BV20" s="10">
        <v>453.11075302999996</v>
      </c>
      <c r="BW20" s="10">
        <v>1429.80248267</v>
      </c>
      <c r="BX20" s="10">
        <v>4573.6642628299996</v>
      </c>
      <c r="BY20" s="10">
        <v>803.78915515999995</v>
      </c>
      <c r="BZ20" s="10">
        <v>572.46850687999995</v>
      </c>
      <c r="CA20" s="10">
        <v>607.1850693099999</v>
      </c>
      <c r="CB20" s="10">
        <v>673.51143665999996</v>
      </c>
      <c r="CC20" s="10">
        <v>573.39723903999993</v>
      </c>
      <c r="CD20" s="10">
        <v>703.06789572000002</v>
      </c>
      <c r="CE20" s="10">
        <v>713.40122455999995</v>
      </c>
      <c r="CF20" s="10">
        <v>734.87423329000001</v>
      </c>
      <c r="CG20" s="11">
        <v>1424.1115168900001</v>
      </c>
      <c r="CH20" s="10">
        <v>716.50240739000003</v>
      </c>
      <c r="CI20" s="10">
        <v>7188.3989561899998</v>
      </c>
      <c r="CJ20" s="10">
        <v>3998.8761532199997</v>
      </c>
      <c r="CK20" s="10">
        <v>1415.2171702000001</v>
      </c>
      <c r="CL20" s="10">
        <v>996.81506009000009</v>
      </c>
      <c r="CM20" s="10">
        <v>1121.2260744300002</v>
      </c>
      <c r="CN20" s="10">
        <v>1191.2440317400001</v>
      </c>
      <c r="CO20" s="10">
        <v>1187.5062574000001</v>
      </c>
    </row>
    <row r="21" spans="1:93" s="12" customFormat="1" x14ac:dyDescent="0.2">
      <c r="A21" s="9" t="s">
        <v>31</v>
      </c>
      <c r="B21" s="10">
        <v>3.9377120000000002E-2</v>
      </c>
      <c r="C21" s="10">
        <v>6.7048160000000009E-2</v>
      </c>
      <c r="D21" s="10">
        <v>1.5852391799999999</v>
      </c>
      <c r="E21" s="10">
        <v>0.5279682</v>
      </c>
      <c r="F21" s="10">
        <v>0.24304842999999998</v>
      </c>
      <c r="G21" s="10">
        <v>0.11455503</v>
      </c>
      <c r="H21" s="10">
        <v>0.25011798000000002</v>
      </c>
      <c r="I21" s="10">
        <v>0.29612228999999995</v>
      </c>
      <c r="J21" s="10">
        <v>6.3710959999999997E-2</v>
      </c>
      <c r="K21" s="10">
        <v>8.3942789999999989E-2</v>
      </c>
      <c r="L21" s="10">
        <v>5.8075790000000002E-2</v>
      </c>
      <c r="M21" s="11">
        <v>9.631867999999999E-2</v>
      </c>
      <c r="N21" s="10">
        <v>7.2574039999999992E-2</v>
      </c>
      <c r="O21" s="10">
        <v>8.3831749999999997E-2</v>
      </c>
      <c r="P21" s="10">
        <v>0.16954614000000001</v>
      </c>
      <c r="Q21" s="10">
        <v>2.6127839999999999E-2</v>
      </c>
      <c r="R21" s="10">
        <v>1.3050530000000001E-2</v>
      </c>
      <c r="S21" s="10">
        <v>0.70635886999999997</v>
      </c>
      <c r="T21" s="10">
        <v>0.89531496999999993</v>
      </c>
      <c r="U21" s="10">
        <v>6.5382179999999998E-2</v>
      </c>
      <c r="V21" s="10">
        <v>0.22637407000000001</v>
      </c>
      <c r="W21" s="10">
        <v>3.8509260000000003E-2</v>
      </c>
      <c r="X21" s="10">
        <v>3.6683440000000005E-2</v>
      </c>
      <c r="Y21" s="11">
        <v>0.11349588000000001</v>
      </c>
      <c r="Z21" s="10">
        <v>0.13726254999999998</v>
      </c>
      <c r="AA21" s="10">
        <v>0.16941318</v>
      </c>
      <c r="AB21" s="10">
        <v>0.55765506000000009</v>
      </c>
      <c r="AC21" s="10">
        <v>0.69</v>
      </c>
      <c r="AD21" s="10">
        <v>0.28820440000000003</v>
      </c>
      <c r="AE21" s="10">
        <v>0.54464476000000006</v>
      </c>
      <c r="AF21" s="10">
        <v>0.44472425999999998</v>
      </c>
      <c r="AG21" s="10">
        <v>9.8891949999999992E-2</v>
      </c>
      <c r="AH21" s="10">
        <v>0.23842932999999999</v>
      </c>
      <c r="AI21" s="10">
        <v>5.5952480000000006E-2</v>
      </c>
      <c r="AJ21" s="10">
        <v>0.19612992999999998</v>
      </c>
      <c r="AK21" s="11">
        <v>0.22413460999999998</v>
      </c>
      <c r="AL21" s="10">
        <v>0.10027957000000001</v>
      </c>
      <c r="AM21" s="10">
        <v>1.4312620000000002E-2</v>
      </c>
      <c r="AN21" s="10">
        <v>0.10733036</v>
      </c>
      <c r="AO21" s="10">
        <v>0.35161587999999999</v>
      </c>
      <c r="AP21" s="10">
        <v>0.23080920000000002</v>
      </c>
      <c r="AQ21" s="10">
        <v>0.89061904000000003</v>
      </c>
      <c r="AR21" s="10">
        <v>0.42488388999999999</v>
      </c>
      <c r="AS21" s="10">
        <v>0.47105197999999998</v>
      </c>
      <c r="AT21" s="10">
        <v>0.3049249</v>
      </c>
      <c r="AU21" s="10">
        <v>0.18159096</v>
      </c>
      <c r="AV21" s="10">
        <v>0.14507063000000001</v>
      </c>
      <c r="AW21" s="11">
        <v>7.3439300000000002E-3</v>
      </c>
      <c r="AX21" s="10">
        <v>7.4772829999999998E-2</v>
      </c>
      <c r="AY21" s="10">
        <v>8.5931300000000002E-2</v>
      </c>
      <c r="AZ21" s="10">
        <v>0.19695709</v>
      </c>
      <c r="BA21" s="10">
        <v>0.12972523999999999</v>
      </c>
      <c r="BB21" s="10">
        <v>0.39116308</v>
      </c>
      <c r="BC21" s="10">
        <v>0.29711622999999998</v>
      </c>
      <c r="BD21" s="10">
        <v>0.16976954999999999</v>
      </c>
      <c r="BE21" s="10">
        <v>0.14599202</v>
      </c>
      <c r="BF21" s="10">
        <v>0.10883349</v>
      </c>
      <c r="BG21" s="10">
        <v>0.27537713000000003</v>
      </c>
      <c r="BH21" s="10">
        <v>9.2987669999999994E-2</v>
      </c>
      <c r="BI21" s="11">
        <v>0.31846720000000001</v>
      </c>
      <c r="BJ21" s="10">
        <v>1.72700874</v>
      </c>
      <c r="BK21" s="10">
        <v>0.65590872</v>
      </c>
      <c r="BL21" s="10">
        <v>0.19475922000000001</v>
      </c>
      <c r="BM21" s="10">
        <v>4.2658830000000002E-2</v>
      </c>
      <c r="BN21" s="10">
        <v>0.18643393999999999</v>
      </c>
      <c r="BO21" s="10">
        <v>7.516929E-2</v>
      </c>
      <c r="BP21" s="10">
        <v>1.5545573100000001</v>
      </c>
      <c r="BQ21" s="10">
        <v>0.21866605</v>
      </c>
      <c r="BR21" s="10">
        <v>0.50214227</v>
      </c>
      <c r="BS21" s="10">
        <v>2.2939891400000003</v>
      </c>
      <c r="BT21" s="10">
        <v>0.17706509000000001</v>
      </c>
      <c r="BU21" s="11">
        <v>0.44596409000000004</v>
      </c>
      <c r="BV21" s="10">
        <v>0.13452442000000001</v>
      </c>
      <c r="BW21" s="10">
        <v>0.51829734000000005</v>
      </c>
      <c r="BX21" s="10">
        <v>3.7636059400000001</v>
      </c>
      <c r="BY21" s="10">
        <v>0.54765193999999995</v>
      </c>
      <c r="BZ21" s="10">
        <v>0.31168738000000001</v>
      </c>
      <c r="CA21" s="10">
        <v>0.45514094999999999</v>
      </c>
      <c r="CB21" s="10">
        <v>8.4306130000000007E-2</v>
      </c>
      <c r="CC21" s="10">
        <v>5.1693489999999995E-2</v>
      </c>
      <c r="CD21" s="10">
        <v>1.10503887</v>
      </c>
      <c r="CE21" s="10">
        <v>0.23876420000000001</v>
      </c>
      <c r="CF21" s="10">
        <v>0.72005758999999991</v>
      </c>
      <c r="CG21" s="11">
        <v>0.23487874</v>
      </c>
      <c r="CH21" s="10">
        <f>103597.75/1000000</f>
        <v>0.10359775</v>
      </c>
      <c r="CI21" s="10">
        <v>0.19836266</v>
      </c>
      <c r="CJ21" s="10">
        <v>0.11968311</v>
      </c>
      <c r="CK21" s="10">
        <v>0.50724954999999994</v>
      </c>
      <c r="CL21" s="10">
        <v>1.28540297</v>
      </c>
      <c r="CM21" s="10">
        <v>1.5607284399999999</v>
      </c>
      <c r="CN21" s="10">
        <v>1.99697371</v>
      </c>
      <c r="CO21" s="10"/>
    </row>
    <row r="22" spans="1:93" s="12" customFormat="1" x14ac:dyDescent="0.2">
      <c r="A22" s="9" t="s">
        <v>19</v>
      </c>
      <c r="B22" s="10">
        <v>181.570696</v>
      </c>
      <c r="C22" s="10">
        <v>949.02335599999992</v>
      </c>
      <c r="D22" s="10">
        <v>450.56156200000015</v>
      </c>
      <c r="E22" s="10">
        <v>536.15</v>
      </c>
      <c r="F22" s="10">
        <v>455.01173900000003</v>
      </c>
      <c r="G22" s="10">
        <v>481.75321300000002</v>
      </c>
      <c r="H22" s="10">
        <v>561.44071900000006</v>
      </c>
      <c r="I22" s="10">
        <v>777.82687099999976</v>
      </c>
      <c r="J22" s="10">
        <v>555.89794299999994</v>
      </c>
      <c r="K22" s="10">
        <v>705.26</v>
      </c>
      <c r="L22" s="10">
        <v>537.13</v>
      </c>
      <c r="M22" s="11">
        <v>698.07</v>
      </c>
      <c r="N22" s="10">
        <v>210.01</v>
      </c>
      <c r="O22" s="10">
        <v>1641.61</v>
      </c>
      <c r="P22" s="10">
        <v>694.35</v>
      </c>
      <c r="Q22" s="10">
        <v>670.51</v>
      </c>
      <c r="R22" s="10">
        <v>817.12</v>
      </c>
      <c r="S22" s="10">
        <v>1085.56</v>
      </c>
      <c r="T22" s="10">
        <v>857.85</v>
      </c>
      <c r="U22" s="10">
        <v>921.35</v>
      </c>
      <c r="V22" s="10">
        <v>819.35</v>
      </c>
      <c r="W22" s="10">
        <v>888.64</v>
      </c>
      <c r="X22" s="10">
        <v>760.27</v>
      </c>
      <c r="Y22" s="11">
        <v>935.95</v>
      </c>
      <c r="Z22" s="10">
        <v>328.38</v>
      </c>
      <c r="AA22" s="10">
        <v>2561.63</v>
      </c>
      <c r="AB22" s="10">
        <v>1144.1099999999999</v>
      </c>
      <c r="AC22" s="10">
        <v>1232.05</v>
      </c>
      <c r="AD22" s="10">
        <v>1139.69</v>
      </c>
      <c r="AE22" s="10">
        <v>1383.36</v>
      </c>
      <c r="AF22" s="10">
        <v>1052.27</v>
      </c>
      <c r="AG22" s="10">
        <v>1328.05</v>
      </c>
      <c r="AH22" s="10">
        <v>1013.53</v>
      </c>
      <c r="AI22" s="10">
        <v>1141.95</v>
      </c>
      <c r="AJ22" s="10">
        <v>621.02</v>
      </c>
      <c r="AK22" s="11">
        <v>764.61</v>
      </c>
      <c r="AL22" s="10">
        <v>396.77</v>
      </c>
      <c r="AM22" s="10">
        <v>3839.55</v>
      </c>
      <c r="AN22" s="10">
        <v>1250.3399999999999</v>
      </c>
      <c r="AO22" s="10">
        <v>1424.44</v>
      </c>
      <c r="AP22" s="10">
        <v>1393.21</v>
      </c>
      <c r="AQ22" s="10">
        <v>1582.64</v>
      </c>
      <c r="AR22" s="10">
        <v>1114.22</v>
      </c>
      <c r="AS22" s="10">
        <v>1500.71</v>
      </c>
      <c r="AT22" s="10">
        <v>1109.21</v>
      </c>
      <c r="AU22" s="10">
        <v>1332.29</v>
      </c>
      <c r="AV22" s="10">
        <v>683.28</v>
      </c>
      <c r="AW22" s="11">
        <v>939.34</v>
      </c>
      <c r="AX22" s="10">
        <v>935.83</v>
      </c>
      <c r="AY22" s="10">
        <v>5687.24</v>
      </c>
      <c r="AZ22" s="10">
        <v>1496.74</v>
      </c>
      <c r="BA22" s="10">
        <v>1867.97</v>
      </c>
      <c r="BB22" s="10">
        <v>1284.5</v>
      </c>
      <c r="BC22" s="10">
        <v>1857.95</v>
      </c>
      <c r="BD22" s="10">
        <v>1233.47</v>
      </c>
      <c r="BE22" s="10">
        <v>2159.4</v>
      </c>
      <c r="BF22" s="10">
        <v>1225.08</v>
      </c>
      <c r="BG22" s="10">
        <v>1992.63</v>
      </c>
      <c r="BH22" s="10">
        <v>934.18</v>
      </c>
      <c r="BI22" s="11">
        <v>1452.05</v>
      </c>
      <c r="BJ22" s="10">
        <v>1609.31</v>
      </c>
      <c r="BK22" s="10">
        <v>14958.04</v>
      </c>
      <c r="BL22" s="10">
        <v>2426.21</v>
      </c>
      <c r="BM22" s="10">
        <v>4997.67</v>
      </c>
      <c r="BN22" s="10">
        <v>3238.33</v>
      </c>
      <c r="BO22" s="10">
        <v>4903.3100000000004</v>
      </c>
      <c r="BP22" s="10">
        <v>5990.01</v>
      </c>
      <c r="BQ22" s="10">
        <v>9126.4500000000007</v>
      </c>
      <c r="BR22" s="10">
        <v>7267.69</v>
      </c>
      <c r="BS22" s="10">
        <v>9995.35</v>
      </c>
      <c r="BT22" s="10">
        <v>4316.6400000000003</v>
      </c>
      <c r="BU22" s="11">
        <v>7018.23</v>
      </c>
      <c r="BV22" s="10">
        <v>3751.68</v>
      </c>
      <c r="BW22" s="10">
        <v>53330.19</v>
      </c>
      <c r="BX22" s="10">
        <v>8063.27</v>
      </c>
      <c r="BY22" s="10">
        <v>9894.49</v>
      </c>
      <c r="BZ22" s="10">
        <v>8148.99</v>
      </c>
      <c r="CA22" s="10">
        <v>11162.04</v>
      </c>
      <c r="CB22" s="10">
        <v>8077.29</v>
      </c>
      <c r="CC22" s="10">
        <v>12956.81</v>
      </c>
      <c r="CD22" s="10">
        <v>8230.66</v>
      </c>
      <c r="CE22" s="10">
        <v>12906.18</v>
      </c>
      <c r="CF22" s="10">
        <v>6132.98</v>
      </c>
      <c r="CG22" s="11">
        <v>9246.48</v>
      </c>
      <c r="CH22" s="10">
        <v>10403.61</v>
      </c>
      <c r="CI22" s="10">
        <v>75163.02</v>
      </c>
      <c r="CJ22" s="10">
        <v>11714.35</v>
      </c>
      <c r="CK22" s="10">
        <v>13381.2</v>
      </c>
      <c r="CL22" s="10">
        <v>8916.75</v>
      </c>
      <c r="CM22" s="10">
        <v>14744.38</v>
      </c>
      <c r="CN22" s="10"/>
      <c r="CO22" s="10"/>
    </row>
    <row r="23" spans="1:93" s="12" customFormat="1" x14ac:dyDescent="0.2">
      <c r="A23" s="9" t="s">
        <v>53</v>
      </c>
      <c r="B23" s="10" t="s">
        <v>24</v>
      </c>
      <c r="C23" s="10" t="s">
        <v>24</v>
      </c>
      <c r="D23" s="10" t="s">
        <v>24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1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24</v>
      </c>
      <c r="S23" s="10" t="s">
        <v>24</v>
      </c>
      <c r="T23" s="10" t="s">
        <v>24</v>
      </c>
      <c r="U23" s="10" t="s">
        <v>24</v>
      </c>
      <c r="V23" s="10" t="s">
        <v>24</v>
      </c>
      <c r="W23" s="10" t="s">
        <v>24</v>
      </c>
      <c r="X23" s="10" t="s">
        <v>24</v>
      </c>
      <c r="Y23" s="11" t="s">
        <v>24</v>
      </c>
      <c r="Z23" s="10" t="s">
        <v>24</v>
      </c>
      <c r="AA23" s="10" t="s">
        <v>24</v>
      </c>
      <c r="AB23" s="10" t="s">
        <v>24</v>
      </c>
      <c r="AC23" s="10" t="s">
        <v>24</v>
      </c>
      <c r="AD23" s="10" t="s">
        <v>24</v>
      </c>
      <c r="AE23" s="10" t="s">
        <v>24</v>
      </c>
      <c r="AF23" s="10" t="s">
        <v>24</v>
      </c>
      <c r="AG23" s="10" t="s">
        <v>24</v>
      </c>
      <c r="AH23" s="10" t="s">
        <v>24</v>
      </c>
      <c r="AI23" s="10" t="s">
        <v>24</v>
      </c>
      <c r="AJ23" s="10" t="s">
        <v>24</v>
      </c>
      <c r="AK23" s="11" t="s">
        <v>24</v>
      </c>
      <c r="AL23" s="10" t="s">
        <v>24</v>
      </c>
      <c r="AM23" s="10" t="s">
        <v>24</v>
      </c>
      <c r="AN23" s="10" t="s">
        <v>24</v>
      </c>
      <c r="AO23" s="10" t="s">
        <v>24</v>
      </c>
      <c r="AP23" s="10" t="s">
        <v>24</v>
      </c>
      <c r="AQ23" s="10" t="s">
        <v>24</v>
      </c>
      <c r="AR23" s="10" t="s">
        <v>24</v>
      </c>
      <c r="AS23" s="10" t="s">
        <v>24</v>
      </c>
      <c r="AT23" s="10" t="s">
        <v>24</v>
      </c>
      <c r="AU23" s="10" t="s">
        <v>24</v>
      </c>
      <c r="AV23" s="10" t="s">
        <v>24</v>
      </c>
      <c r="AW23" s="11" t="s">
        <v>24</v>
      </c>
      <c r="AX23" s="10" t="s">
        <v>24</v>
      </c>
      <c r="AY23" s="10" t="s">
        <v>24</v>
      </c>
      <c r="AZ23" s="10" t="s">
        <v>24</v>
      </c>
      <c r="BA23" s="10" t="s">
        <v>24</v>
      </c>
      <c r="BB23" s="10" t="s">
        <v>24</v>
      </c>
      <c r="BC23" s="10" t="s">
        <v>24</v>
      </c>
      <c r="BD23" s="10" t="s">
        <v>24</v>
      </c>
      <c r="BE23" s="10" t="s">
        <v>24</v>
      </c>
      <c r="BF23" s="10" t="s">
        <v>24</v>
      </c>
      <c r="BG23" s="10" t="s">
        <v>24</v>
      </c>
      <c r="BH23" s="10" t="s">
        <v>24</v>
      </c>
      <c r="BI23" s="11" t="s">
        <v>24</v>
      </c>
      <c r="BJ23" s="10">
        <v>167.18409523</v>
      </c>
      <c r="BK23" s="10">
        <v>164.11139050999998</v>
      </c>
      <c r="BL23" s="10">
        <v>1669.3411615999999</v>
      </c>
      <c r="BM23" s="10">
        <v>2270.2124419899997</v>
      </c>
      <c r="BN23" s="10">
        <v>638.95603482000001</v>
      </c>
      <c r="BO23" s="10">
        <v>426.22061623000002</v>
      </c>
      <c r="BP23" s="10">
        <v>697.49603843</v>
      </c>
      <c r="BQ23" s="10">
        <v>866.10032011999999</v>
      </c>
      <c r="BR23" s="10">
        <v>291.30991455000003</v>
      </c>
      <c r="BS23" s="10">
        <v>885.41914804999999</v>
      </c>
      <c r="BT23" s="10">
        <v>373.8229106</v>
      </c>
      <c r="BU23" s="11">
        <v>652.64290627000003</v>
      </c>
      <c r="BV23" s="10">
        <v>792.24824534999993</v>
      </c>
      <c r="BW23" s="10">
        <v>802.50506983000002</v>
      </c>
      <c r="BX23" s="10">
        <v>886.90753989999996</v>
      </c>
      <c r="BY23" s="10">
        <v>5848.2969586099998</v>
      </c>
      <c r="BZ23" s="10">
        <v>2433.2117100199998</v>
      </c>
      <c r="CA23" s="10">
        <v>2954.93616901</v>
      </c>
      <c r="CB23" s="10">
        <v>1863.78115654</v>
      </c>
      <c r="CC23" s="10">
        <v>2336.4046324800001</v>
      </c>
      <c r="CD23" s="10">
        <v>1645.4152606199998</v>
      </c>
      <c r="CE23" s="10">
        <v>1549.14936713</v>
      </c>
      <c r="CF23" s="10">
        <v>1910.84931609</v>
      </c>
      <c r="CG23" s="11">
        <v>1840.1775764400002</v>
      </c>
      <c r="CH23" s="10">
        <v>713.41776613000002</v>
      </c>
      <c r="CI23" s="10">
        <v>726.00956690999999</v>
      </c>
      <c r="CJ23" s="10">
        <v>6373.5846732</v>
      </c>
      <c r="CK23" s="10">
        <v>3588.6681021899999</v>
      </c>
      <c r="CL23" s="10">
        <v>4611.3336380299997</v>
      </c>
      <c r="CM23" s="10">
        <v>5202.7439745199999</v>
      </c>
      <c r="CN23" s="10">
        <v>3337.4660938299999</v>
      </c>
      <c r="CO23" s="10">
        <v>3350.61846285</v>
      </c>
    </row>
    <row r="24" spans="1:93" s="12" customFormat="1" x14ac:dyDescent="0.2">
      <c r="A24" s="9" t="s">
        <v>32</v>
      </c>
      <c r="B24" s="10">
        <v>5.3387469999999999E-2</v>
      </c>
      <c r="C24" s="10">
        <v>3.6766629999999995E-2</v>
      </c>
      <c r="D24" s="10">
        <v>3.5254710000000002E-2</v>
      </c>
      <c r="E24" s="10">
        <v>3.9242489999999998E-2</v>
      </c>
      <c r="F24" s="10">
        <v>0.16218374999999999</v>
      </c>
      <c r="G24" s="10">
        <v>8.0183600000000004E-3</v>
      </c>
      <c r="H24" s="10">
        <v>4.3355379999999999E-2</v>
      </c>
      <c r="I24" s="10">
        <v>8.3750400000000003E-3</v>
      </c>
      <c r="J24" s="10">
        <v>2.84366E-3</v>
      </c>
      <c r="K24" s="10">
        <v>0</v>
      </c>
      <c r="L24" s="10">
        <v>1.55694153</v>
      </c>
      <c r="M24" s="11">
        <v>0.26681011999999998</v>
      </c>
      <c r="N24" s="10">
        <v>0.14097261999999999</v>
      </c>
      <c r="O24" s="10">
        <v>1.7101140000000001E-2</v>
      </c>
      <c r="P24" s="10">
        <v>2.201096E-2</v>
      </c>
      <c r="Q24" s="10">
        <v>0</v>
      </c>
      <c r="R24" s="10">
        <v>1.6561199999999999E-3</v>
      </c>
      <c r="S24" s="10">
        <v>1.8848599999999999E-3</v>
      </c>
      <c r="T24" s="10">
        <v>1.447787E-2</v>
      </c>
      <c r="U24" s="10">
        <v>1.6366180000000001E-2</v>
      </c>
      <c r="V24" s="10">
        <v>2.0472490000000003E-2</v>
      </c>
      <c r="W24" s="10">
        <v>0</v>
      </c>
      <c r="X24" s="10">
        <v>2.00765437</v>
      </c>
      <c r="Y24" s="11">
        <v>0.64604885000000001</v>
      </c>
      <c r="Z24" s="10">
        <v>0.14142764999999999</v>
      </c>
      <c r="AA24" s="10">
        <v>0.12914710000000001</v>
      </c>
      <c r="AB24" s="10">
        <v>0.11067135</v>
      </c>
      <c r="AC24" s="10">
        <v>6.9542850000000003E-2</v>
      </c>
      <c r="AD24" s="10">
        <v>3.015079E-2</v>
      </c>
      <c r="AE24" s="10">
        <v>6.220009E-2</v>
      </c>
      <c r="AF24" s="10">
        <v>4.2779919999999999E-2</v>
      </c>
      <c r="AG24" s="10">
        <v>8.795299999999999E-3</v>
      </c>
      <c r="AH24" s="10">
        <v>4.0346660000000006E-2</v>
      </c>
      <c r="AI24" s="10">
        <v>4.9857910000000005E-2</v>
      </c>
      <c r="AJ24" s="10">
        <v>2.2746170299999999</v>
      </c>
      <c r="AK24" s="11">
        <v>0.62835280000000004</v>
      </c>
      <c r="AL24" s="10">
        <v>3.435481E-2</v>
      </c>
      <c r="AM24" s="10">
        <v>5.5973580000000002E-2</v>
      </c>
      <c r="AN24" s="10">
        <v>0.47552960999999999</v>
      </c>
      <c r="AO24" s="10">
        <v>4.2974129999999999E-2</v>
      </c>
      <c r="AP24" s="10">
        <v>0.17314511999999999</v>
      </c>
      <c r="AQ24" s="10">
        <v>0.10370307000000001</v>
      </c>
      <c r="AR24" s="10">
        <v>0.56408134999999993</v>
      </c>
      <c r="AS24" s="10">
        <v>0.24142474</v>
      </c>
      <c r="AT24" s="10">
        <v>0.13905023999999999</v>
      </c>
      <c r="AU24" s="10">
        <v>0.1148544</v>
      </c>
      <c r="AV24" s="10">
        <v>3.0195504199999998</v>
      </c>
      <c r="AW24" s="11">
        <v>0.26358661</v>
      </c>
      <c r="AX24" s="10">
        <v>0.20822216000000002</v>
      </c>
      <c r="AY24" s="10">
        <v>4.6024879999999997E-2</v>
      </c>
      <c r="AZ24" s="10">
        <v>0.31593895</v>
      </c>
      <c r="BA24" s="10">
        <v>0.20877435999999999</v>
      </c>
      <c r="BB24" s="10">
        <v>2.8592380000000001E-2</v>
      </c>
      <c r="BC24" s="10">
        <v>7.3566820000000005E-2</v>
      </c>
      <c r="BD24" s="10">
        <v>1.7961599999999998E-2</v>
      </c>
      <c r="BE24" s="10">
        <v>2.8298630000000002E-2</v>
      </c>
      <c r="BF24" s="10">
        <v>9.1911500000000004E-3</v>
      </c>
      <c r="BG24" s="10">
        <v>0.19207814000000001</v>
      </c>
      <c r="BH24" s="10">
        <v>2.9963639100000004</v>
      </c>
      <c r="BI24" s="11">
        <v>0.60860970999999997</v>
      </c>
      <c r="BJ24" s="10">
        <v>0.21690035000000002</v>
      </c>
      <c r="BK24" s="10">
        <v>0.19236061999999998</v>
      </c>
      <c r="BL24" s="10">
        <v>6.6886199999999993E-2</v>
      </c>
      <c r="BM24" s="10">
        <v>6.0984040000000003E-2</v>
      </c>
      <c r="BN24" s="10">
        <v>3.6621000000000001E-2</v>
      </c>
      <c r="BO24" s="10">
        <v>0.50684713000000003</v>
      </c>
      <c r="BP24" s="10">
        <v>0.13993235000000001</v>
      </c>
      <c r="BQ24" s="10">
        <v>5.0843329999999999E-2</v>
      </c>
      <c r="BR24" s="10">
        <v>0.41877928000000003</v>
      </c>
      <c r="BS24" s="10">
        <v>8.2494750000000006E-2</v>
      </c>
      <c r="BT24" s="10">
        <v>0.44423900999999999</v>
      </c>
      <c r="BU24" s="11">
        <v>1.86112364</v>
      </c>
      <c r="BV24" s="10">
        <v>2.0678528799999998</v>
      </c>
      <c r="BW24" s="10">
        <v>0.24344785999999999</v>
      </c>
      <c r="BX24" s="10">
        <v>9.8316639999999997E-2</v>
      </c>
      <c r="BY24" s="10">
        <v>4.6366749999999998E-2</v>
      </c>
      <c r="BZ24" s="10">
        <v>0.10814075999999999</v>
      </c>
      <c r="CA24" s="10">
        <v>1.89825E-3</v>
      </c>
      <c r="CB24" s="10">
        <v>0.11424616</v>
      </c>
      <c r="CC24" s="10">
        <v>2.5487300000000001E-2</v>
      </c>
      <c r="CD24" s="10">
        <v>0.10507350999999999</v>
      </c>
      <c r="CE24" s="10">
        <v>1.6569500000000001E-2</v>
      </c>
      <c r="CF24" s="10">
        <v>6.5226550000000008E-2</v>
      </c>
      <c r="CG24" s="11">
        <v>2.7685588800000001</v>
      </c>
      <c r="CH24" s="10">
        <v>1.1753364900000001</v>
      </c>
      <c r="CI24" s="10">
        <v>0.13771082000000001</v>
      </c>
      <c r="CJ24" s="10">
        <v>0.23700026999999999</v>
      </c>
      <c r="CK24" s="10">
        <v>0.28018156</v>
      </c>
      <c r="CL24" s="10">
        <v>0.17253474999999999</v>
      </c>
      <c r="CM24" s="10">
        <v>0.31500399000000001</v>
      </c>
      <c r="CN24" s="10">
        <v>0</v>
      </c>
      <c r="CO24" s="10"/>
    </row>
    <row r="25" spans="1:93" s="12" customFormat="1" x14ac:dyDescent="0.2">
      <c r="A25" s="9" t="s">
        <v>20</v>
      </c>
      <c r="B25" s="10">
        <v>91.568207999999998</v>
      </c>
      <c r="C25" s="10">
        <v>54.591411999999998</v>
      </c>
      <c r="D25" s="10">
        <v>52.686276999999997</v>
      </c>
      <c r="E25" s="10">
        <v>62.562620000000003</v>
      </c>
      <c r="F25" s="10">
        <v>76.805087</v>
      </c>
      <c r="G25" s="10">
        <v>75.354787999999999</v>
      </c>
      <c r="H25" s="10">
        <v>78.440732999999994</v>
      </c>
      <c r="I25" s="10">
        <v>68.312340000000006</v>
      </c>
      <c r="J25" s="10">
        <v>66.293485000000004</v>
      </c>
      <c r="K25" s="10">
        <v>71.670736000000005</v>
      </c>
      <c r="L25" s="10">
        <v>80.814301999999998</v>
      </c>
      <c r="M25" s="11">
        <v>356.76098999999999</v>
      </c>
      <c r="N25" s="10">
        <v>124.706943</v>
      </c>
      <c r="O25" s="10">
        <v>69.906205999999997</v>
      </c>
      <c r="P25" s="10">
        <v>58.656047999999998</v>
      </c>
      <c r="Q25" s="10">
        <v>44.939418000000003</v>
      </c>
      <c r="R25" s="10">
        <v>55.121231999999999</v>
      </c>
      <c r="S25" s="10">
        <v>69.108174000000005</v>
      </c>
      <c r="T25" s="10">
        <v>80.567740999999998</v>
      </c>
      <c r="U25" s="10">
        <v>84.280612000000005</v>
      </c>
      <c r="V25" s="10">
        <v>85.080551</v>
      </c>
      <c r="W25" s="10">
        <v>80.841166999999999</v>
      </c>
      <c r="X25" s="10">
        <v>89.665159000000003</v>
      </c>
      <c r="Y25" s="11">
        <v>456.89550500000001</v>
      </c>
      <c r="Z25" s="10">
        <v>205.52905200000001</v>
      </c>
      <c r="AA25" s="10">
        <v>101.475668</v>
      </c>
      <c r="AB25" s="10">
        <v>108.624863</v>
      </c>
      <c r="AC25" s="10">
        <v>102.05095799999999</v>
      </c>
      <c r="AD25" s="10">
        <v>101.22342999999999</v>
      </c>
      <c r="AE25" s="10">
        <v>103.079567</v>
      </c>
      <c r="AF25" s="10">
        <v>123.250877</v>
      </c>
      <c r="AG25" s="10">
        <v>130.154574</v>
      </c>
      <c r="AH25" s="10">
        <v>138.917678</v>
      </c>
      <c r="AI25" s="10">
        <v>129.823723</v>
      </c>
      <c r="AJ25" s="10">
        <v>137.53708800000001</v>
      </c>
      <c r="AK25" s="11">
        <v>695.716454</v>
      </c>
      <c r="AL25" s="10">
        <v>227.328498</v>
      </c>
      <c r="AM25" s="10">
        <v>159.459237</v>
      </c>
      <c r="AN25" s="10">
        <v>167.57924199999999</v>
      </c>
      <c r="AO25" s="10">
        <v>154.805657</v>
      </c>
      <c r="AP25" s="10">
        <v>158.987213</v>
      </c>
      <c r="AQ25" s="10">
        <v>156.13539</v>
      </c>
      <c r="AR25" s="10">
        <v>149.20582300000001</v>
      </c>
      <c r="AS25" s="10">
        <v>174.88029900000001</v>
      </c>
      <c r="AT25" s="10">
        <v>167.67697100000001</v>
      </c>
      <c r="AU25" s="10">
        <v>159.309471</v>
      </c>
      <c r="AV25" s="10">
        <v>156.17971900000001</v>
      </c>
      <c r="AW25" s="11">
        <v>932.14403200000004</v>
      </c>
      <c r="AX25" s="10">
        <v>394.72774700000002</v>
      </c>
      <c r="AY25" s="10">
        <v>185.014905</v>
      </c>
      <c r="AZ25" s="10">
        <v>212.882261</v>
      </c>
      <c r="BA25" s="10">
        <v>213.85704999999999</v>
      </c>
      <c r="BB25" s="10">
        <v>228.01248699999999</v>
      </c>
      <c r="BC25" s="10">
        <v>235.52823000000001</v>
      </c>
      <c r="BD25" s="10">
        <v>245.580941</v>
      </c>
      <c r="BE25" s="10">
        <v>252.976688</v>
      </c>
      <c r="BF25" s="10">
        <v>241.67312100000001</v>
      </c>
      <c r="BG25" s="10">
        <v>261.924057</v>
      </c>
      <c r="BH25" s="10">
        <v>261.50784399999998</v>
      </c>
      <c r="BI25" s="11">
        <v>1960.7545030000001</v>
      </c>
      <c r="BJ25" s="10">
        <v>776.60547499999996</v>
      </c>
      <c r="BK25" s="10">
        <v>325.32499200000001</v>
      </c>
      <c r="BL25" s="10">
        <v>358.17029600000001</v>
      </c>
      <c r="BM25" s="10">
        <v>468.983225</v>
      </c>
      <c r="BN25" s="10">
        <v>512.09229000000005</v>
      </c>
      <c r="BO25" s="10">
        <v>513.31565699999999</v>
      </c>
      <c r="BP25" s="10">
        <v>675.86521900000002</v>
      </c>
      <c r="BQ25" s="10">
        <v>680.04486499999996</v>
      </c>
      <c r="BR25" s="10">
        <v>645.36215100000004</v>
      </c>
      <c r="BS25" s="10">
        <v>815.630585</v>
      </c>
      <c r="BT25" s="10">
        <v>725.47697700000003</v>
      </c>
      <c r="BU25" s="11">
        <v>5590.3019050000003</v>
      </c>
      <c r="BV25" s="10">
        <v>1635.1727800000001</v>
      </c>
      <c r="BW25" s="10">
        <v>699.38694299999997</v>
      </c>
      <c r="BX25" s="10">
        <v>714.38024299999995</v>
      </c>
      <c r="BY25" s="10">
        <v>767.88332400000002</v>
      </c>
      <c r="BZ25" s="10">
        <v>763.861133</v>
      </c>
      <c r="CA25" s="10">
        <v>767.05818099999999</v>
      </c>
      <c r="CB25" s="10">
        <v>889.40551300000004</v>
      </c>
      <c r="CC25" s="10">
        <v>808.160347</v>
      </c>
      <c r="CD25" s="10">
        <v>841.19749899999999</v>
      </c>
      <c r="CE25" s="10">
        <v>886.63558499999999</v>
      </c>
      <c r="CF25" s="10">
        <v>840.27056100000004</v>
      </c>
      <c r="CG25" s="11">
        <v>7451.2156340000001</v>
      </c>
      <c r="CH25" s="10">
        <v>2065.3040409999999</v>
      </c>
      <c r="CI25" s="10">
        <v>848.61485700000003</v>
      </c>
      <c r="CJ25" s="10">
        <v>897.67095300000005</v>
      </c>
      <c r="CK25" s="10">
        <v>983.64106600000002</v>
      </c>
      <c r="CL25" s="10">
        <v>887.40412400000002</v>
      </c>
      <c r="CM25" s="10">
        <v>936.21750299999997</v>
      </c>
      <c r="CN25" s="10">
        <v>1047.354458</v>
      </c>
      <c r="CO25" s="10"/>
    </row>
    <row r="26" spans="1:93" s="12" customFormat="1" ht="12" thickBot="1" x14ac:dyDescent="0.3">
      <c r="A26" s="13" t="s">
        <v>1</v>
      </c>
      <c r="B26" s="14">
        <f t="shared" ref="B26:AG26" si="0">SUM(B2:B25)</f>
        <v>6452.1306008199981</v>
      </c>
      <c r="C26" s="15">
        <f t="shared" si="0"/>
        <v>10717.439799329997</v>
      </c>
      <c r="D26" s="15">
        <f t="shared" si="0"/>
        <v>8555.5658758600021</v>
      </c>
      <c r="E26" s="15">
        <f t="shared" si="0"/>
        <v>7193.6852872600011</v>
      </c>
      <c r="F26" s="15">
        <f t="shared" si="0"/>
        <v>5843.5863015099985</v>
      </c>
      <c r="G26" s="15">
        <f t="shared" si="0"/>
        <v>7568.9366285600008</v>
      </c>
      <c r="H26" s="15">
        <f t="shared" si="0"/>
        <v>5268.4486286800002</v>
      </c>
      <c r="I26" s="15">
        <f t="shared" si="0"/>
        <v>6165.8720285499994</v>
      </c>
      <c r="J26" s="15">
        <f t="shared" si="0"/>
        <v>6496.7388950000004</v>
      </c>
      <c r="K26" s="15">
        <f t="shared" si="0"/>
        <v>6297.5243073600013</v>
      </c>
      <c r="L26" s="15">
        <f t="shared" si="0"/>
        <v>6294.9212286100001</v>
      </c>
      <c r="M26" s="16">
        <f t="shared" si="0"/>
        <v>4817.4121337799997</v>
      </c>
      <c r="N26" s="14">
        <f t="shared" si="0"/>
        <v>7910.32477999</v>
      </c>
      <c r="O26" s="15">
        <f t="shared" si="0"/>
        <v>13641.768800880001</v>
      </c>
      <c r="P26" s="15">
        <f t="shared" si="0"/>
        <v>11419.948318559998</v>
      </c>
      <c r="Q26" s="15">
        <f t="shared" si="0"/>
        <v>8492.2640893699972</v>
      </c>
      <c r="R26" s="15">
        <f t="shared" si="0"/>
        <v>8333.7683490100007</v>
      </c>
      <c r="S26" s="15">
        <f t="shared" si="0"/>
        <v>10947.613781279999</v>
      </c>
      <c r="T26" s="15">
        <f t="shared" si="0"/>
        <v>5917.3536047599991</v>
      </c>
      <c r="U26" s="15">
        <f t="shared" si="0"/>
        <v>7771.6497490499987</v>
      </c>
      <c r="V26" s="15">
        <f t="shared" si="0"/>
        <v>9194.9951510999999</v>
      </c>
      <c r="W26" s="15">
        <f t="shared" si="0"/>
        <v>8599.5079037699998</v>
      </c>
      <c r="X26" s="15">
        <f t="shared" si="0"/>
        <v>9313.1353020300012</v>
      </c>
      <c r="Y26" s="16">
        <f t="shared" si="0"/>
        <v>7867.0749930299999</v>
      </c>
      <c r="Z26" s="14">
        <f t="shared" si="0"/>
        <v>10030.8681619</v>
      </c>
      <c r="AA26" s="15">
        <f t="shared" si="0"/>
        <v>22098.667443769998</v>
      </c>
      <c r="AB26" s="15">
        <f t="shared" si="0"/>
        <v>16913.634119300001</v>
      </c>
      <c r="AC26" s="15">
        <f t="shared" si="0"/>
        <v>14010.027945559999</v>
      </c>
      <c r="AD26" s="15">
        <f t="shared" si="0"/>
        <v>11707.978401630004</v>
      </c>
      <c r="AE26" s="15">
        <f t="shared" si="0"/>
        <v>17417.114312080001</v>
      </c>
      <c r="AF26" s="15">
        <f t="shared" si="0"/>
        <v>9453.3795000800019</v>
      </c>
      <c r="AG26" s="15">
        <f t="shared" si="0"/>
        <v>12747.052180139997</v>
      </c>
      <c r="AH26" s="15">
        <f t="shared" ref="AH26:CO26" si="1">SUM(AH2:AH25)</f>
        <v>13249.139043480001</v>
      </c>
      <c r="AI26" s="15">
        <f t="shared" si="1"/>
        <v>12286.521289229999</v>
      </c>
      <c r="AJ26" s="15">
        <f t="shared" si="1"/>
        <v>12426.784019990002</v>
      </c>
      <c r="AK26" s="16">
        <f t="shared" si="1"/>
        <v>10887.906089579998</v>
      </c>
      <c r="AL26" s="14">
        <f t="shared" si="1"/>
        <v>14411.958335540001</v>
      </c>
      <c r="AM26" s="15">
        <f t="shared" si="1"/>
        <v>33281.699244579999</v>
      </c>
      <c r="AN26" s="15">
        <f t="shared" si="1"/>
        <v>23763.390890609997</v>
      </c>
      <c r="AO26" s="15">
        <f t="shared" si="1"/>
        <v>18094.695528920001</v>
      </c>
      <c r="AP26" s="15">
        <f t="shared" si="1"/>
        <v>20009.792965569995</v>
      </c>
      <c r="AQ26" s="15">
        <f t="shared" si="1"/>
        <v>23921.849201890003</v>
      </c>
      <c r="AR26" s="15">
        <f t="shared" si="1"/>
        <v>13367.003230939998</v>
      </c>
      <c r="AS26" s="15">
        <f t="shared" si="1"/>
        <v>20380.054723470003</v>
      </c>
      <c r="AT26" s="15">
        <f t="shared" si="1"/>
        <v>19163.252461619999</v>
      </c>
      <c r="AU26" s="15">
        <f t="shared" si="1"/>
        <v>19410.139392893016</v>
      </c>
      <c r="AV26" s="15">
        <f t="shared" si="1"/>
        <v>18236.862193162084</v>
      </c>
      <c r="AW26" s="16">
        <f t="shared" si="1"/>
        <v>16023.501833304967</v>
      </c>
      <c r="AX26" s="14">
        <f t="shared" si="1"/>
        <v>24659.276248435137</v>
      </c>
      <c r="AY26" s="15">
        <f t="shared" si="1"/>
        <v>53992.247259190815</v>
      </c>
      <c r="AZ26" s="15">
        <f t="shared" si="1"/>
        <v>38891.952066231795</v>
      </c>
      <c r="BA26" s="15">
        <f t="shared" si="1"/>
        <v>29487.931427670803</v>
      </c>
      <c r="BB26" s="15">
        <f t="shared" si="1"/>
        <v>31274.665185745635</v>
      </c>
      <c r="BC26" s="15">
        <f t="shared" si="1"/>
        <v>40401.266954791361</v>
      </c>
      <c r="BD26" s="15">
        <f t="shared" si="1"/>
        <v>22688.135074851711</v>
      </c>
      <c r="BE26" s="15">
        <f t="shared" si="1"/>
        <v>34460.376140343782</v>
      </c>
      <c r="BF26" s="15">
        <f t="shared" si="1"/>
        <v>29879.403614737625</v>
      </c>
      <c r="BG26" s="15">
        <f t="shared" si="1"/>
        <v>35759.555666832108</v>
      </c>
      <c r="BH26" s="15">
        <f t="shared" si="1"/>
        <v>31257.789830034613</v>
      </c>
      <c r="BI26" s="16">
        <f t="shared" si="1"/>
        <v>32445.023885880255</v>
      </c>
      <c r="BJ26" s="14">
        <f t="shared" si="1"/>
        <v>61233.119099996708</v>
      </c>
      <c r="BK26" s="15">
        <f t="shared" si="1"/>
        <v>169662.15280358327</v>
      </c>
      <c r="BL26" s="15">
        <f t="shared" si="1"/>
        <v>110875.00997133178</v>
      </c>
      <c r="BM26" s="15">
        <f t="shared" si="1"/>
        <v>130683.42933350505</v>
      </c>
      <c r="BN26" s="15">
        <f t="shared" si="1"/>
        <v>70257.479547628856</v>
      </c>
      <c r="BO26" s="15">
        <f t="shared" si="1"/>
        <v>156091.45998169939</v>
      </c>
      <c r="BP26" s="15">
        <f t="shared" si="1"/>
        <v>89627.559089913368</v>
      </c>
      <c r="BQ26" s="15">
        <f t="shared" si="1"/>
        <v>143800.51375949668</v>
      </c>
      <c r="BR26" s="15">
        <f t="shared" si="1"/>
        <v>128104.19656976491</v>
      </c>
      <c r="BS26" s="15">
        <f t="shared" si="1"/>
        <v>191068.29753899437</v>
      </c>
      <c r="BT26" s="15">
        <f t="shared" si="1"/>
        <v>152916.52171941366</v>
      </c>
      <c r="BU26" s="16">
        <f t="shared" si="1"/>
        <v>96787.436606214513</v>
      </c>
      <c r="BV26" s="14">
        <f t="shared" si="1"/>
        <v>110088.56467865489</v>
      </c>
      <c r="BW26" s="15">
        <f t="shared" si="1"/>
        <v>270084.09683482582</v>
      </c>
      <c r="BX26" s="15">
        <f t="shared" si="1"/>
        <v>249338.9049962922</v>
      </c>
      <c r="BY26" s="15">
        <f t="shared" si="1"/>
        <v>268236.19162399479</v>
      </c>
      <c r="BZ26" s="15">
        <f t="shared" si="1"/>
        <v>241214.87925398236</v>
      </c>
      <c r="CA26" s="15">
        <f t="shared" si="1"/>
        <v>215959.08973010391</v>
      </c>
      <c r="CB26" s="15">
        <f t="shared" si="1"/>
        <v>162180.84661250503</v>
      </c>
      <c r="CC26" s="15">
        <f t="shared" si="1"/>
        <v>193395.82628875496</v>
      </c>
      <c r="CD26" s="15">
        <f t="shared" si="1"/>
        <v>173359.97126184622</v>
      </c>
      <c r="CE26" s="15">
        <f t="shared" si="1"/>
        <v>171521.09078921875</v>
      </c>
      <c r="CF26" s="15">
        <f t="shared" si="1"/>
        <v>183063.45129558691</v>
      </c>
      <c r="CG26" s="16">
        <f t="shared" si="1"/>
        <v>238425.43311540439</v>
      </c>
      <c r="CH26" s="14">
        <f>SUM(CH2:CH25)</f>
        <v>299365.17911732063</v>
      </c>
      <c r="CI26" s="15">
        <f t="shared" si="1"/>
        <v>485569.95772350125</v>
      </c>
      <c r="CJ26" s="15">
        <f t="shared" si="1"/>
        <v>314411.13775229931</v>
      </c>
      <c r="CK26" s="15">
        <f t="shared" si="1"/>
        <v>283349.91520324547</v>
      </c>
      <c r="CL26" s="15">
        <f t="shared" si="1"/>
        <v>260457.53293690021</v>
      </c>
      <c r="CM26" s="15">
        <f t="shared" si="1"/>
        <v>325316.42727967456</v>
      </c>
      <c r="CN26" s="15">
        <f t="shared" si="1"/>
        <v>181247.34319062479</v>
      </c>
      <c r="CO26" s="15">
        <f t="shared" si="1"/>
        <v>134972.41017211002</v>
      </c>
    </row>
    <row r="27" spans="1:93" ht="12" thickTop="1" x14ac:dyDescent="0.25">
      <c r="A27" s="9"/>
      <c r="B27" s="17"/>
      <c r="C27" s="17"/>
      <c r="D27" s="17"/>
      <c r="E27" s="12"/>
      <c r="F27" s="12"/>
      <c r="G27" s="12"/>
      <c r="H27" s="12"/>
      <c r="N27" s="17"/>
      <c r="O27" s="17"/>
      <c r="P27" s="17"/>
      <c r="Q27" s="12"/>
      <c r="R27" s="12"/>
      <c r="S27" s="12"/>
      <c r="T27" s="12"/>
      <c r="Z27" s="17"/>
      <c r="AA27" s="17"/>
      <c r="AB27" s="17"/>
      <c r="AC27" s="12"/>
      <c r="AD27" s="12"/>
      <c r="AE27" s="12"/>
      <c r="AF27" s="12"/>
      <c r="AL27" s="17"/>
      <c r="AM27" s="17"/>
      <c r="AN27" s="17"/>
      <c r="AO27" s="12"/>
      <c r="AP27" s="12"/>
      <c r="AQ27" s="12"/>
      <c r="AR27" s="12"/>
      <c r="AX27" s="17"/>
      <c r="AY27" s="17"/>
      <c r="AZ27" s="17"/>
      <c r="BA27" s="12"/>
      <c r="BB27" s="12"/>
      <c r="BC27" s="12"/>
      <c r="BD27" s="12"/>
      <c r="BJ27" s="17"/>
      <c r="BK27" s="17"/>
      <c r="BL27" s="17"/>
      <c r="BM27" s="12"/>
      <c r="BN27" s="12"/>
      <c r="BO27" s="12"/>
      <c r="BP27" s="12"/>
      <c r="BV27" s="17"/>
      <c r="BW27" s="17"/>
      <c r="BX27" s="17"/>
      <c r="BY27" s="12"/>
      <c r="BZ27" s="12"/>
      <c r="CA27" s="12"/>
      <c r="CB27" s="12"/>
      <c r="CH27" s="17"/>
      <c r="CI27" s="17"/>
      <c r="CJ27" s="17"/>
      <c r="CK27" s="17"/>
      <c r="CL27" s="17"/>
      <c r="CM27" s="17"/>
      <c r="CN27" s="17"/>
      <c r="CO27" s="17"/>
    </row>
    <row r="28" spans="1:93" x14ac:dyDescent="0.25">
      <c r="A28" s="18" t="s">
        <v>33</v>
      </c>
      <c r="B28" s="19"/>
      <c r="D28" s="19"/>
      <c r="E28" s="19"/>
      <c r="N28" s="19"/>
      <c r="P28" s="19"/>
      <c r="Q28" s="19"/>
      <c r="Z28" s="19"/>
      <c r="AB28" s="19"/>
      <c r="AC28" s="19"/>
      <c r="AL28" s="19"/>
      <c r="AN28" s="19"/>
      <c r="AO28" s="19"/>
      <c r="AX28" s="19"/>
      <c r="AZ28" s="19"/>
      <c r="BA28" s="19"/>
      <c r="BJ28" s="19"/>
      <c r="BL28" s="19"/>
      <c r="BM28" s="19"/>
      <c r="BV28" s="19"/>
      <c r="BX28" s="19"/>
      <c r="BY28" s="19"/>
      <c r="CH28" s="19"/>
      <c r="CJ28" s="19"/>
      <c r="CK28" s="19"/>
      <c r="CL28" s="19"/>
      <c r="CM28" s="19"/>
      <c r="CN28" s="19"/>
      <c r="CO28" s="19"/>
    </row>
    <row r="29" spans="1:93" x14ac:dyDescent="0.25">
      <c r="A29" s="23" t="s">
        <v>62</v>
      </c>
      <c r="B29" s="19"/>
      <c r="D29" s="19"/>
      <c r="E29" s="19"/>
      <c r="N29" s="19"/>
      <c r="P29" s="19"/>
      <c r="Q29" s="19"/>
      <c r="Z29" s="19"/>
      <c r="AB29" s="19"/>
      <c r="AC29" s="19"/>
      <c r="AL29" s="19"/>
      <c r="AN29" s="19"/>
      <c r="AO29" s="19"/>
      <c r="AX29" s="19"/>
      <c r="AZ29" s="19"/>
      <c r="BA29" s="19"/>
      <c r="BJ29" s="19"/>
      <c r="BL29" s="19"/>
      <c r="BM29" s="19"/>
      <c r="BV29" s="19"/>
      <c r="BX29" s="19"/>
      <c r="BY29" s="19"/>
      <c r="CH29" s="19"/>
      <c r="CJ29" s="19"/>
      <c r="CK29" s="19"/>
      <c r="CL29" s="19"/>
      <c r="CM29" s="19"/>
      <c r="CN29" s="19"/>
      <c r="CO29" s="1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2439-6907-46FC-A71F-D4FD3C6B7CFC}">
  <dimension ref="A1:CO29"/>
  <sheetViews>
    <sheetView workbookViewId="0">
      <pane xSplit="1" ySplit="1" topLeftCell="BX3" activePane="bottomRight" state="frozen"/>
      <selection pane="topRight" activeCell="B1" sqref="B1"/>
      <selection pane="bottomLeft" activeCell="A2" sqref="A2"/>
      <selection pane="bottomRight" activeCell="CM22" sqref="CM22"/>
    </sheetView>
  </sheetViews>
  <sheetFormatPr baseColWidth="10" defaultColWidth="11.5703125" defaultRowHeight="11.25" x14ac:dyDescent="0.25"/>
  <cols>
    <col min="1" max="1" width="15" style="20" bestFit="1" customWidth="1"/>
    <col min="2" max="11" width="7" style="8" bestFit="1" customWidth="1"/>
    <col min="12" max="12" width="7.85546875" style="8" bestFit="1" customWidth="1"/>
    <col min="13" max="13" width="7" style="8" bestFit="1" customWidth="1"/>
    <col min="14" max="16" width="7.85546875" style="8" bestFit="1" customWidth="1"/>
    <col min="17" max="18" width="7" style="8" bestFit="1" customWidth="1"/>
    <col min="19" max="58" width="7.85546875" style="8" bestFit="1" customWidth="1"/>
    <col min="59" max="93" width="9.140625" style="8" bestFit="1" customWidth="1"/>
    <col min="94" max="16384" width="11.5703125" style="8"/>
  </cols>
  <sheetData>
    <row r="1" spans="1:93" x14ac:dyDescent="0.25">
      <c r="A1" s="4" t="s">
        <v>0</v>
      </c>
      <c r="B1" s="5">
        <v>43466</v>
      </c>
      <c r="C1" s="6">
        <v>43497</v>
      </c>
      <c r="D1" s="6">
        <v>43525</v>
      </c>
      <c r="E1" s="6">
        <v>43556</v>
      </c>
      <c r="F1" s="6">
        <v>43586</v>
      </c>
      <c r="G1" s="6">
        <v>43617</v>
      </c>
      <c r="H1" s="6">
        <v>43647</v>
      </c>
      <c r="I1" s="6">
        <v>43678</v>
      </c>
      <c r="J1" s="6">
        <v>43709</v>
      </c>
      <c r="K1" s="6">
        <v>43739</v>
      </c>
      <c r="L1" s="6">
        <v>43770</v>
      </c>
      <c r="M1" s="7">
        <v>43800</v>
      </c>
      <c r="N1" s="5">
        <v>43831</v>
      </c>
      <c r="O1" s="6">
        <v>43862</v>
      </c>
      <c r="P1" s="6">
        <v>43891</v>
      </c>
      <c r="Q1" s="6">
        <v>43922</v>
      </c>
      <c r="R1" s="6">
        <v>43952</v>
      </c>
      <c r="S1" s="6">
        <v>43983</v>
      </c>
      <c r="T1" s="6">
        <v>44013</v>
      </c>
      <c r="U1" s="6">
        <v>44044</v>
      </c>
      <c r="V1" s="6">
        <v>44075</v>
      </c>
      <c r="W1" s="6">
        <v>44105</v>
      </c>
      <c r="X1" s="6">
        <v>44136</v>
      </c>
      <c r="Y1" s="7">
        <v>44166</v>
      </c>
      <c r="Z1" s="5">
        <v>44197</v>
      </c>
      <c r="AA1" s="6">
        <v>44228</v>
      </c>
      <c r="AB1" s="6">
        <v>44256</v>
      </c>
      <c r="AC1" s="6">
        <v>44287</v>
      </c>
      <c r="AD1" s="6">
        <v>44317</v>
      </c>
      <c r="AE1" s="6">
        <v>44348</v>
      </c>
      <c r="AF1" s="6">
        <v>44378</v>
      </c>
      <c r="AG1" s="6">
        <v>44409</v>
      </c>
      <c r="AH1" s="6">
        <v>44440</v>
      </c>
      <c r="AI1" s="6">
        <v>44470</v>
      </c>
      <c r="AJ1" s="6">
        <v>44501</v>
      </c>
      <c r="AK1" s="7">
        <v>44531</v>
      </c>
      <c r="AL1" s="5">
        <v>44562</v>
      </c>
      <c r="AM1" s="6">
        <v>44593</v>
      </c>
      <c r="AN1" s="6">
        <v>44621</v>
      </c>
      <c r="AO1" s="6">
        <v>44652</v>
      </c>
      <c r="AP1" s="6">
        <v>44682</v>
      </c>
      <c r="AQ1" s="6">
        <v>44713</v>
      </c>
      <c r="AR1" s="6">
        <v>44743</v>
      </c>
      <c r="AS1" s="6">
        <v>44774</v>
      </c>
      <c r="AT1" s="6">
        <v>44805</v>
      </c>
      <c r="AU1" s="6">
        <v>44835</v>
      </c>
      <c r="AV1" s="6">
        <v>44866</v>
      </c>
      <c r="AW1" s="7">
        <v>44896</v>
      </c>
      <c r="AX1" s="5">
        <v>44927</v>
      </c>
      <c r="AY1" s="6">
        <v>44958</v>
      </c>
      <c r="AZ1" s="6">
        <v>44986</v>
      </c>
      <c r="BA1" s="6">
        <v>45017</v>
      </c>
      <c r="BB1" s="6">
        <v>45047</v>
      </c>
      <c r="BC1" s="6">
        <v>45078</v>
      </c>
      <c r="BD1" s="6">
        <v>45108</v>
      </c>
      <c r="BE1" s="6">
        <v>45139</v>
      </c>
      <c r="BF1" s="6">
        <v>45170</v>
      </c>
      <c r="BG1" s="6">
        <v>45200</v>
      </c>
      <c r="BH1" s="6">
        <v>45231</v>
      </c>
      <c r="BI1" s="7">
        <v>45261</v>
      </c>
      <c r="BJ1" s="5">
        <v>45292</v>
      </c>
      <c r="BK1" s="6">
        <v>45323</v>
      </c>
      <c r="BL1" s="6">
        <v>45352</v>
      </c>
      <c r="BM1" s="6">
        <v>45383</v>
      </c>
      <c r="BN1" s="6">
        <v>45413</v>
      </c>
      <c r="BO1" s="6">
        <v>45444</v>
      </c>
      <c r="BP1" s="6">
        <v>45474</v>
      </c>
      <c r="BQ1" s="6">
        <v>45505</v>
      </c>
      <c r="BR1" s="6">
        <v>45536</v>
      </c>
      <c r="BS1" s="6">
        <v>45566</v>
      </c>
      <c r="BT1" s="6">
        <v>45597</v>
      </c>
      <c r="BU1" s="7">
        <v>45627</v>
      </c>
      <c r="BV1" s="5">
        <v>45658</v>
      </c>
      <c r="BW1" s="6">
        <v>45689</v>
      </c>
      <c r="BX1" s="6">
        <v>45717</v>
      </c>
      <c r="BY1" s="6">
        <v>45748</v>
      </c>
      <c r="BZ1" s="6">
        <v>45778</v>
      </c>
      <c r="CA1" s="6">
        <v>45809</v>
      </c>
      <c r="CB1" s="6">
        <v>45839</v>
      </c>
      <c r="CC1" s="6">
        <v>45870</v>
      </c>
      <c r="CD1" s="6">
        <v>45901</v>
      </c>
      <c r="CE1" s="6">
        <v>45931</v>
      </c>
      <c r="CF1" s="6">
        <v>45962</v>
      </c>
      <c r="CG1" s="7">
        <v>45992</v>
      </c>
      <c r="CH1" s="5">
        <v>46023</v>
      </c>
      <c r="CI1" s="6">
        <v>46054</v>
      </c>
      <c r="CJ1" s="6">
        <v>46082</v>
      </c>
      <c r="CK1" s="6">
        <v>46113</v>
      </c>
      <c r="CL1" s="6">
        <v>46143</v>
      </c>
      <c r="CM1" s="6">
        <v>46174</v>
      </c>
      <c r="CN1" s="6">
        <v>46204</v>
      </c>
      <c r="CO1" s="6">
        <v>46235</v>
      </c>
    </row>
    <row r="2" spans="1:93" s="12" customFormat="1" x14ac:dyDescent="0.2">
      <c r="A2" s="9" t="s">
        <v>4</v>
      </c>
      <c r="B2" s="10">
        <v>5618.87224797</v>
      </c>
      <c r="C2" s="10">
        <v>1629.3943468299999</v>
      </c>
      <c r="D2" s="10">
        <v>3516.8836786400002</v>
      </c>
      <c r="E2" s="10">
        <v>1682.7760000000001</v>
      </c>
      <c r="F2" s="10">
        <v>3710.2869999999998</v>
      </c>
      <c r="G2" s="10">
        <v>1273.6310000000001</v>
      </c>
      <c r="H2" s="10">
        <v>3982.9259999999999</v>
      </c>
      <c r="I2" s="10">
        <v>1557.9649999999999</v>
      </c>
      <c r="J2" s="10">
        <v>3630.6660000000002</v>
      </c>
      <c r="K2" s="10">
        <v>1155.5509999999999</v>
      </c>
      <c r="L2" s="10">
        <v>885.58</v>
      </c>
      <c r="M2" s="11">
        <v>659.68224119000001</v>
      </c>
      <c r="N2" s="10">
        <v>965.88422606000006</v>
      </c>
      <c r="O2" s="10">
        <v>1760.5898409399999</v>
      </c>
      <c r="P2" s="10">
        <v>7290.7641259800002</v>
      </c>
      <c r="Q2" s="10">
        <v>957.53700000000003</v>
      </c>
      <c r="R2" s="10">
        <v>4211.0249999999996</v>
      </c>
      <c r="S2" s="10">
        <v>1635.5329999999999</v>
      </c>
      <c r="T2" s="10">
        <v>4727.3419999999996</v>
      </c>
      <c r="U2" s="10">
        <v>1438.723</v>
      </c>
      <c r="V2" s="10">
        <v>5160.7619999999997</v>
      </c>
      <c r="W2" s="10">
        <v>1998.3779999999999</v>
      </c>
      <c r="X2" s="10">
        <v>5193.6189999999997</v>
      </c>
      <c r="Y2" s="11">
        <v>2312.3609999999999</v>
      </c>
      <c r="Z2" s="10">
        <v>9710.3251147800001</v>
      </c>
      <c r="AA2" s="10">
        <v>4542.1787825000001</v>
      </c>
      <c r="AB2" s="10">
        <v>7554.1785559700011</v>
      </c>
      <c r="AC2" s="10">
        <v>2427.1010000000001</v>
      </c>
      <c r="AD2" s="10">
        <v>7936.7389999999996</v>
      </c>
      <c r="AE2" s="10">
        <v>2299.0189999999998</v>
      </c>
      <c r="AF2" s="10">
        <v>8075.44</v>
      </c>
      <c r="AG2" s="10">
        <v>2281.4404671100001</v>
      </c>
      <c r="AH2" s="10">
        <v>7980.6890000000003</v>
      </c>
      <c r="AI2" s="10">
        <v>2060.6480000000001</v>
      </c>
      <c r="AJ2" s="10">
        <v>1944.1559999999999</v>
      </c>
      <c r="AK2" s="11">
        <v>1897.0609999999999</v>
      </c>
      <c r="AL2" s="10">
        <v>1630.5116689500001</v>
      </c>
      <c r="AM2" s="10">
        <v>1633.7066468600001</v>
      </c>
      <c r="AN2" s="10">
        <v>17876.728280740004</v>
      </c>
      <c r="AO2" s="10">
        <v>3074.4376428099999</v>
      </c>
      <c r="AP2" s="10">
        <v>12443.210617330004</v>
      </c>
      <c r="AQ2" s="10">
        <v>3562.8892534399993</v>
      </c>
      <c r="AR2" s="10">
        <v>13181.00748124</v>
      </c>
      <c r="AS2" s="10">
        <v>3712.9114179700005</v>
      </c>
      <c r="AT2" s="10">
        <v>12532.170338749997</v>
      </c>
      <c r="AU2" s="10">
        <v>3832.3442846791868</v>
      </c>
      <c r="AV2" s="10">
        <v>13539.663937786881</v>
      </c>
      <c r="AW2" s="11">
        <v>3116.669506838884</v>
      </c>
      <c r="AX2" s="10">
        <v>3090.6439647558095</v>
      </c>
      <c r="AY2" s="10">
        <v>2618.8942506095991</v>
      </c>
      <c r="AZ2" s="10">
        <v>25143.836527312087</v>
      </c>
      <c r="BA2" s="10">
        <v>5501.1316660904276</v>
      </c>
      <c r="BB2" s="10">
        <v>17107.924131786971</v>
      </c>
      <c r="BC2" s="10">
        <v>5604.0602362193486</v>
      </c>
      <c r="BD2" s="10">
        <v>19678.936426462831</v>
      </c>
      <c r="BE2" s="10">
        <v>5376.8414802457719</v>
      </c>
      <c r="BF2" s="10">
        <v>19283.14177276284</v>
      </c>
      <c r="BG2" s="10">
        <v>4371.3124748018326</v>
      </c>
      <c r="BH2" s="10">
        <v>19931.672270540646</v>
      </c>
      <c r="BI2" s="11">
        <v>5714.5355211974775</v>
      </c>
      <c r="BJ2" s="10">
        <v>6350.7500761260217</v>
      </c>
      <c r="BK2" s="10">
        <v>3984.2145292607552</v>
      </c>
      <c r="BL2" s="10">
        <v>71969.082446199129</v>
      </c>
      <c r="BM2" s="10">
        <v>18728.931159545442</v>
      </c>
      <c r="BN2" s="10">
        <v>65889.495428703318</v>
      </c>
      <c r="BO2" s="10">
        <v>13451.332228125253</v>
      </c>
      <c r="BP2" s="10">
        <v>72762.490807421244</v>
      </c>
      <c r="BQ2" s="10">
        <v>25281.145240607424</v>
      </c>
      <c r="BR2" s="10">
        <v>73351.22493074571</v>
      </c>
      <c r="BS2" s="10">
        <v>17084.737327424802</v>
      </c>
      <c r="BT2" s="10">
        <v>78101.309472564782</v>
      </c>
      <c r="BU2" s="11">
        <v>18075.570558364365</v>
      </c>
      <c r="BV2" s="10">
        <v>13425.356202306186</v>
      </c>
      <c r="BW2" s="10">
        <v>9909.1074886045863</v>
      </c>
      <c r="BX2" s="10">
        <v>101253.38111747667</v>
      </c>
      <c r="BY2" s="10">
        <v>53248.923106243463</v>
      </c>
      <c r="BZ2" s="10">
        <v>76307.439488083779</v>
      </c>
      <c r="CA2" s="10">
        <v>43481.929126808012</v>
      </c>
      <c r="CB2" s="10">
        <v>117595.26900584192</v>
      </c>
      <c r="CC2" s="10">
        <v>34919.01143097067</v>
      </c>
      <c r="CD2" s="10">
        <v>119778.8875622248</v>
      </c>
      <c r="CE2" s="10">
        <v>36186.130137530548</v>
      </c>
      <c r="CF2" s="10">
        <v>117718.48604831232</v>
      </c>
      <c r="CG2" s="11">
        <v>37657.58562403699</v>
      </c>
      <c r="CH2" s="10">
        <v>27384.1503797974</v>
      </c>
      <c r="CI2" s="10">
        <v>18634.388665910759</v>
      </c>
      <c r="CJ2" s="10">
        <v>120929.4187674624</v>
      </c>
      <c r="CK2" s="10">
        <v>66791.682964341206</v>
      </c>
      <c r="CL2" s="10">
        <v>62661.063190401466</v>
      </c>
      <c r="CM2" s="10">
        <v>68342.61704120037</v>
      </c>
      <c r="CN2" s="10">
        <v>69623.155031487739</v>
      </c>
      <c r="CO2" s="10"/>
    </row>
    <row r="3" spans="1:93" s="12" customFormat="1" x14ac:dyDescent="0.2">
      <c r="A3" s="9" t="s">
        <v>2</v>
      </c>
      <c r="B3" s="10">
        <v>955.1</v>
      </c>
      <c r="C3" s="10">
        <v>1751</v>
      </c>
      <c r="D3" s="10">
        <v>374</v>
      </c>
      <c r="E3" s="10">
        <v>1393.6</v>
      </c>
      <c r="F3" s="10">
        <v>390</v>
      </c>
      <c r="G3" s="10">
        <v>1305.4000000000001</v>
      </c>
      <c r="H3" s="10">
        <v>510.4</v>
      </c>
      <c r="I3" s="10">
        <v>1431.3</v>
      </c>
      <c r="J3" s="10">
        <v>411.7</v>
      </c>
      <c r="K3" s="10">
        <v>1544.1</v>
      </c>
      <c r="L3" s="10">
        <v>393.4</v>
      </c>
      <c r="M3" s="11">
        <v>1568.3</v>
      </c>
      <c r="N3" s="10">
        <v>1195.0999999999999</v>
      </c>
      <c r="O3" s="10">
        <v>2408.9</v>
      </c>
      <c r="P3" s="10">
        <v>447.4</v>
      </c>
      <c r="Q3" s="10">
        <v>1354.9</v>
      </c>
      <c r="R3" s="10">
        <v>457.7</v>
      </c>
      <c r="S3" s="10">
        <v>1898.3</v>
      </c>
      <c r="T3" s="10">
        <v>625.9</v>
      </c>
      <c r="U3" s="10">
        <v>1943.9</v>
      </c>
      <c r="V3" s="10">
        <v>774.9</v>
      </c>
      <c r="W3" s="10">
        <v>2149.5</v>
      </c>
      <c r="X3" s="10">
        <v>742.1</v>
      </c>
      <c r="Y3" s="11">
        <v>2179.6</v>
      </c>
      <c r="Z3" s="10">
        <v>1909</v>
      </c>
      <c r="AA3" s="10">
        <v>4065.1</v>
      </c>
      <c r="AB3" s="10">
        <v>1144.5</v>
      </c>
      <c r="AC3" s="10">
        <v>3038.3</v>
      </c>
      <c r="AD3" s="10">
        <v>990.3</v>
      </c>
      <c r="AE3" s="10">
        <v>3349</v>
      </c>
      <c r="AF3" s="10">
        <v>1300.5999999999999</v>
      </c>
      <c r="AG3" s="10">
        <v>3460.1</v>
      </c>
      <c r="AH3" s="10">
        <v>1489.1</v>
      </c>
      <c r="AI3" s="10">
        <v>3159.8</v>
      </c>
      <c r="AJ3" s="10">
        <v>1221.8</v>
      </c>
      <c r="AK3" s="11">
        <v>3401.9</v>
      </c>
      <c r="AL3" s="10">
        <v>929.5</v>
      </c>
      <c r="AM3" s="10">
        <v>7396.6</v>
      </c>
      <c r="AN3" s="10">
        <v>2067.9</v>
      </c>
      <c r="AO3" s="10">
        <v>4579.5</v>
      </c>
      <c r="AP3" s="10">
        <v>1697.8</v>
      </c>
      <c r="AQ3" s="10">
        <v>4900.3999999999996</v>
      </c>
      <c r="AR3" s="10">
        <v>1757.9</v>
      </c>
      <c r="AS3" s="10">
        <v>5345.4</v>
      </c>
      <c r="AT3" s="10">
        <v>1652.1</v>
      </c>
      <c r="AU3" s="10">
        <v>4931.5</v>
      </c>
      <c r="AV3" s="10">
        <v>1807.5</v>
      </c>
      <c r="AW3" s="11">
        <v>4788.7</v>
      </c>
      <c r="AX3" s="10">
        <v>2356.5</v>
      </c>
      <c r="AY3" s="10">
        <v>13141.7</v>
      </c>
      <c r="AZ3" s="10">
        <v>3855.7</v>
      </c>
      <c r="BA3" s="10">
        <v>9063.6</v>
      </c>
      <c r="BB3" s="10">
        <v>3081</v>
      </c>
      <c r="BC3" s="10">
        <v>9356.7999999999993</v>
      </c>
      <c r="BD3" s="10">
        <v>3340.7</v>
      </c>
      <c r="BE3" s="10">
        <v>10616.1</v>
      </c>
      <c r="BF3" s="10">
        <v>3048.8</v>
      </c>
      <c r="BG3" s="10">
        <v>10572.1</v>
      </c>
      <c r="BH3" s="10">
        <v>3292.7</v>
      </c>
      <c r="BI3" s="11">
        <v>11060.7</v>
      </c>
      <c r="BJ3" s="10">
        <v>9952.2999999999993</v>
      </c>
      <c r="BK3" s="10">
        <v>34442.699999999997</v>
      </c>
      <c r="BL3" s="10">
        <v>6587.8</v>
      </c>
      <c r="BM3" s="10">
        <v>24618.6</v>
      </c>
      <c r="BN3" s="10">
        <v>8170.8</v>
      </c>
      <c r="BO3" s="10">
        <v>23927.599999999999</v>
      </c>
      <c r="BP3" s="10">
        <v>9878.2999999999993</v>
      </c>
      <c r="BQ3" s="10">
        <v>30927.1</v>
      </c>
      <c r="BR3" s="10">
        <v>12485.1</v>
      </c>
      <c r="BS3" s="10">
        <v>31959.9</v>
      </c>
      <c r="BT3" s="10">
        <v>10043.1</v>
      </c>
      <c r="BU3" s="11">
        <v>31981.7</v>
      </c>
      <c r="BV3" s="10">
        <v>9129.7000000000007</v>
      </c>
      <c r="BW3" s="10">
        <v>71104.7</v>
      </c>
      <c r="BX3" s="10">
        <v>21998.6</v>
      </c>
      <c r="BY3" s="10">
        <v>51573.4</v>
      </c>
      <c r="BZ3" s="10">
        <v>15752.2</v>
      </c>
      <c r="CA3" s="10">
        <v>50499.9</v>
      </c>
      <c r="CB3" s="10">
        <v>20417.099999999999</v>
      </c>
      <c r="CC3" s="10">
        <v>54621.5</v>
      </c>
      <c r="CD3" s="10">
        <v>17568.3</v>
      </c>
      <c r="CE3" s="10">
        <v>56507.1</v>
      </c>
      <c r="CF3" s="10">
        <v>14446</v>
      </c>
      <c r="CG3" s="11">
        <v>55232</v>
      </c>
      <c r="CH3" s="10">
        <v>22764.400000000001</v>
      </c>
      <c r="CI3" s="10">
        <v>87703.1</v>
      </c>
      <c r="CJ3" s="10">
        <v>35478.9</v>
      </c>
      <c r="CK3" s="10">
        <v>70253.2</v>
      </c>
      <c r="CL3" s="10">
        <v>22555.3</v>
      </c>
      <c r="CM3" s="10">
        <v>72261.899999999994</v>
      </c>
      <c r="CN3" s="10">
        <v>23775.7</v>
      </c>
      <c r="CO3" s="10">
        <v>71069.7</v>
      </c>
    </row>
    <row r="4" spans="1:93" s="12" customFormat="1" x14ac:dyDescent="0.2">
      <c r="A4" s="9" t="s">
        <v>23</v>
      </c>
      <c r="B4" s="10">
        <v>16.96604194</v>
      </c>
      <c r="C4" s="10">
        <v>30.721411140000001</v>
      </c>
      <c r="D4" s="10">
        <v>58.490135369999997</v>
      </c>
      <c r="E4" s="10">
        <v>34.600999999999999</v>
      </c>
      <c r="F4" s="10">
        <v>26.763515009999999</v>
      </c>
      <c r="G4" s="10">
        <v>24.096983430000002</v>
      </c>
      <c r="H4" s="10">
        <v>32.213652969999998</v>
      </c>
      <c r="I4" s="10">
        <v>26.750091560000001</v>
      </c>
      <c r="J4" s="10">
        <v>23.927315520000001</v>
      </c>
      <c r="K4" s="10">
        <v>16.94339699</v>
      </c>
      <c r="L4" s="10">
        <v>23.217860590000001</v>
      </c>
      <c r="M4" s="11">
        <v>20.112304340000001</v>
      </c>
      <c r="N4" s="10">
        <v>27.371327489999999</v>
      </c>
      <c r="O4" s="10">
        <v>41.858506230000003</v>
      </c>
      <c r="P4" s="10">
        <v>58.385449460000004</v>
      </c>
      <c r="Q4" s="10">
        <v>28.57456668</v>
      </c>
      <c r="R4" s="10">
        <v>42.08240404</v>
      </c>
      <c r="S4" s="10">
        <v>54.01354448</v>
      </c>
      <c r="T4" s="10">
        <v>48.257308159999994</v>
      </c>
      <c r="U4" s="10">
        <v>28.888297850000001</v>
      </c>
      <c r="V4" s="10">
        <v>32.136034240000001</v>
      </c>
      <c r="W4" s="10">
        <v>28.4233683</v>
      </c>
      <c r="X4" s="10">
        <v>25.256532960000001</v>
      </c>
      <c r="Y4" s="11">
        <v>22.510653340000001</v>
      </c>
      <c r="Z4" s="10">
        <v>21.11937953</v>
      </c>
      <c r="AA4" s="10">
        <v>44.135339539999997</v>
      </c>
      <c r="AB4" s="10">
        <v>79.977000000000004</v>
      </c>
      <c r="AC4" s="10">
        <v>45.316000000000003</v>
      </c>
      <c r="AD4" s="10">
        <v>84.762769779999999</v>
      </c>
      <c r="AE4" s="10">
        <v>59.217174710000002</v>
      </c>
      <c r="AF4" s="10">
        <v>71.015391570000006</v>
      </c>
      <c r="AG4" s="10">
        <v>43.822155619999997</v>
      </c>
      <c r="AH4" s="10">
        <v>53.377255570000003</v>
      </c>
      <c r="AI4" s="10">
        <v>47.458071050000058</v>
      </c>
      <c r="AJ4" s="10">
        <v>36.80900601999997</v>
      </c>
      <c r="AK4" s="11">
        <v>43.574321959999907</v>
      </c>
      <c r="AL4" s="10">
        <v>30.446778309999999</v>
      </c>
      <c r="AM4" s="10">
        <v>80.138040000000004</v>
      </c>
      <c r="AN4" s="10">
        <v>169.46091426999999</v>
      </c>
      <c r="AO4" s="10">
        <v>44.053709260000005</v>
      </c>
      <c r="AP4" s="10">
        <v>96.387337469999977</v>
      </c>
      <c r="AQ4" s="10">
        <v>172.88769130000003</v>
      </c>
      <c r="AR4" s="10">
        <v>46.479250589999992</v>
      </c>
      <c r="AS4" s="10">
        <v>194.58827514999996</v>
      </c>
      <c r="AT4" s="10">
        <v>99.53018153000005</v>
      </c>
      <c r="AU4" s="10">
        <v>62.103497919999995</v>
      </c>
      <c r="AV4" s="10">
        <v>66.691286040000023</v>
      </c>
      <c r="AW4" s="11">
        <v>86.283038159999933</v>
      </c>
      <c r="AX4" s="10">
        <v>62.760257119999999</v>
      </c>
      <c r="AY4" s="10">
        <v>117.91296082</v>
      </c>
      <c r="AZ4" s="10">
        <v>331.14574293999999</v>
      </c>
      <c r="BA4" s="10">
        <v>228.27425294000005</v>
      </c>
      <c r="BB4" s="10">
        <v>201.53188578999993</v>
      </c>
      <c r="BC4" s="10">
        <v>111.14418937000005</v>
      </c>
      <c r="BD4" s="10">
        <v>147.72238620999997</v>
      </c>
      <c r="BE4" s="10">
        <v>275.10000000000002</v>
      </c>
      <c r="BF4" s="10">
        <v>180.31</v>
      </c>
      <c r="BG4" s="10">
        <v>124.22714456000017</v>
      </c>
      <c r="BH4" s="10">
        <v>163.40566706000004</v>
      </c>
      <c r="BI4" s="11">
        <v>135.21274455999992</v>
      </c>
      <c r="BJ4" s="10">
        <v>144.53482018</v>
      </c>
      <c r="BK4" s="10">
        <v>472.49173459999997</v>
      </c>
      <c r="BL4" s="10">
        <v>873.48043049</v>
      </c>
      <c r="BM4" s="10">
        <v>710.42421619000004</v>
      </c>
      <c r="BN4" s="10">
        <v>601.31928905999996</v>
      </c>
      <c r="BO4" s="10">
        <v>381.70947331999997</v>
      </c>
      <c r="BP4" s="10">
        <v>493.07347432</v>
      </c>
      <c r="BQ4" s="10">
        <v>336.94461388000002</v>
      </c>
      <c r="BR4" s="10">
        <v>509.37877703999999</v>
      </c>
      <c r="BS4" s="10">
        <v>488.65006792000003</v>
      </c>
      <c r="BT4" s="10">
        <v>272.42556718999998</v>
      </c>
      <c r="BU4" s="11">
        <v>335.85431070999999</v>
      </c>
      <c r="BV4" s="10">
        <v>540.03286381999999</v>
      </c>
      <c r="BW4" s="10">
        <v>729.24574050999991</v>
      </c>
      <c r="BX4" s="10">
        <v>1400.7854521700001</v>
      </c>
      <c r="BY4" s="10">
        <v>1352.2360122999999</v>
      </c>
      <c r="BZ4" s="10">
        <v>1431.24352006</v>
      </c>
      <c r="CA4" s="10">
        <v>939.37477406999994</v>
      </c>
      <c r="CB4" s="10">
        <v>1039.18898117</v>
      </c>
      <c r="CC4" s="10">
        <v>575.11329454999998</v>
      </c>
      <c r="CD4" s="10">
        <v>575.36330926999995</v>
      </c>
      <c r="CE4" s="10">
        <v>618.97982347000004</v>
      </c>
      <c r="CF4" s="10">
        <v>408.53950318</v>
      </c>
      <c r="CG4" s="11">
        <v>527.93750556999998</v>
      </c>
      <c r="CH4" s="10">
        <v>625.53176228999996</v>
      </c>
      <c r="CI4" s="10">
        <v>938.17277266999997</v>
      </c>
      <c r="CJ4" s="10">
        <v>2007.5205819600001</v>
      </c>
      <c r="CK4" s="10">
        <v>1904.25117703</v>
      </c>
      <c r="CL4" s="10">
        <v>1276.8003590999999</v>
      </c>
      <c r="CM4" s="10">
        <v>877.43017222000003</v>
      </c>
      <c r="CN4" s="10">
        <v>1344.6700454899999</v>
      </c>
      <c r="CO4" s="10">
        <v>659.40127864999999</v>
      </c>
    </row>
    <row r="5" spans="1:93" s="12" customFormat="1" x14ac:dyDescent="0.2">
      <c r="A5" s="9" t="s">
        <v>28</v>
      </c>
      <c r="B5" s="10" t="s">
        <v>3</v>
      </c>
      <c r="C5" s="10" t="s">
        <v>3</v>
      </c>
      <c r="D5" s="10" t="s">
        <v>3</v>
      </c>
      <c r="E5" s="10" t="s">
        <v>3</v>
      </c>
      <c r="F5" s="10" t="s">
        <v>3</v>
      </c>
      <c r="G5" s="10" t="s">
        <v>3</v>
      </c>
      <c r="H5" s="10" t="s">
        <v>3</v>
      </c>
      <c r="I5" s="10" t="s">
        <v>3</v>
      </c>
      <c r="J5" s="10" t="s">
        <v>3</v>
      </c>
      <c r="K5" s="10" t="s">
        <v>3</v>
      </c>
      <c r="L5" s="10" t="s">
        <v>3</v>
      </c>
      <c r="M5" s="11" t="s">
        <v>3</v>
      </c>
      <c r="N5" s="10" t="s">
        <v>3</v>
      </c>
      <c r="O5" s="10" t="s">
        <v>3</v>
      </c>
      <c r="P5" s="10" t="s">
        <v>3</v>
      </c>
      <c r="Q5" s="10" t="s">
        <v>3</v>
      </c>
      <c r="R5" s="10" t="s">
        <v>3</v>
      </c>
      <c r="S5" s="10" t="s">
        <v>3</v>
      </c>
      <c r="T5" s="10" t="s">
        <v>3</v>
      </c>
      <c r="U5" s="10" t="s">
        <v>3</v>
      </c>
      <c r="V5" s="10" t="s">
        <v>3</v>
      </c>
      <c r="W5" s="10" t="s">
        <v>3</v>
      </c>
      <c r="X5" s="10" t="s">
        <v>3</v>
      </c>
      <c r="Y5" s="11" t="s">
        <v>3</v>
      </c>
      <c r="Z5" s="10" t="s">
        <v>3</v>
      </c>
      <c r="AA5" s="10" t="s">
        <v>3</v>
      </c>
      <c r="AB5" s="10" t="s">
        <v>3</v>
      </c>
      <c r="AC5" s="10" t="s">
        <v>3</v>
      </c>
      <c r="AD5" s="10" t="s">
        <v>3</v>
      </c>
      <c r="AE5" s="10" t="s">
        <v>3</v>
      </c>
      <c r="AF5" s="10" t="s">
        <v>3</v>
      </c>
      <c r="AG5" s="10" t="s">
        <v>3</v>
      </c>
      <c r="AH5" s="10" t="s">
        <v>3</v>
      </c>
      <c r="AI5" s="10" t="s">
        <v>3</v>
      </c>
      <c r="AJ5" s="10" t="s">
        <v>3</v>
      </c>
      <c r="AK5" s="11" t="s">
        <v>3</v>
      </c>
      <c r="AL5" s="10" t="s">
        <v>3</v>
      </c>
      <c r="AM5" s="10" t="s">
        <v>3</v>
      </c>
      <c r="AN5" s="10" t="s">
        <v>3</v>
      </c>
      <c r="AO5" s="10" t="s">
        <v>3</v>
      </c>
      <c r="AP5" s="10" t="s">
        <v>3</v>
      </c>
      <c r="AQ5" s="10" t="s">
        <v>3</v>
      </c>
      <c r="AR5" s="10" t="s">
        <v>3</v>
      </c>
      <c r="AS5" s="10" t="s">
        <v>3</v>
      </c>
      <c r="AT5" s="10" t="s">
        <v>3</v>
      </c>
      <c r="AU5" s="10" t="s">
        <v>3</v>
      </c>
      <c r="AV5" s="10" t="s">
        <v>3</v>
      </c>
      <c r="AW5" s="11" t="s">
        <v>3</v>
      </c>
      <c r="AX5" s="10" t="s">
        <v>3</v>
      </c>
      <c r="AY5" s="10" t="s">
        <v>3</v>
      </c>
      <c r="AZ5" s="10" t="s">
        <v>3</v>
      </c>
      <c r="BA5" s="10" t="s">
        <v>3</v>
      </c>
      <c r="BB5" s="10" t="s">
        <v>3</v>
      </c>
      <c r="BC5" s="10" t="s">
        <v>3</v>
      </c>
      <c r="BD5" s="10" t="s">
        <v>3</v>
      </c>
      <c r="BE5" s="10" t="s">
        <v>3</v>
      </c>
      <c r="BF5" s="10" t="s">
        <v>3</v>
      </c>
      <c r="BG5" s="10" t="s">
        <v>3</v>
      </c>
      <c r="BH5" s="10" t="s">
        <v>3</v>
      </c>
      <c r="BI5" s="11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3</v>
      </c>
      <c r="BR5" s="10" t="s">
        <v>3</v>
      </c>
      <c r="BS5" s="10" t="s">
        <v>3</v>
      </c>
      <c r="BT5" s="10" t="s">
        <v>3</v>
      </c>
      <c r="BU5" s="11" t="s">
        <v>3</v>
      </c>
      <c r="BV5" s="10" t="s">
        <v>3</v>
      </c>
      <c r="BW5" s="10" t="s">
        <v>3</v>
      </c>
      <c r="BX5" s="10" t="s">
        <v>3</v>
      </c>
      <c r="BY5" s="10" t="s">
        <v>3</v>
      </c>
      <c r="BZ5" s="10" t="s">
        <v>3</v>
      </c>
      <c r="CA5" s="10" t="s">
        <v>3</v>
      </c>
      <c r="CB5" s="10" t="s">
        <v>3</v>
      </c>
      <c r="CC5" s="10" t="s">
        <v>3</v>
      </c>
      <c r="CD5" s="10" t="s">
        <v>3</v>
      </c>
      <c r="CE5" s="10" t="s">
        <v>3</v>
      </c>
      <c r="CF5" s="10" t="s">
        <v>3</v>
      </c>
      <c r="CG5" s="11" t="s">
        <v>3</v>
      </c>
      <c r="CH5" s="10" t="s">
        <v>3</v>
      </c>
      <c r="CI5" s="10" t="s">
        <v>3</v>
      </c>
      <c r="CJ5" s="10" t="s">
        <v>3</v>
      </c>
      <c r="CK5" s="10" t="s">
        <v>3</v>
      </c>
      <c r="CL5" s="10" t="s">
        <v>3</v>
      </c>
      <c r="CM5" s="10" t="s">
        <v>3</v>
      </c>
      <c r="CN5" s="10" t="s">
        <v>3</v>
      </c>
      <c r="CO5" s="10" t="s">
        <v>3</v>
      </c>
    </row>
    <row r="6" spans="1:93" s="12" customFormat="1" x14ac:dyDescent="0.2">
      <c r="A6" s="9" t="s">
        <v>21</v>
      </c>
      <c r="B6" s="10" t="s">
        <v>3</v>
      </c>
      <c r="C6" s="10" t="s">
        <v>3</v>
      </c>
      <c r="D6" s="10" t="s">
        <v>3</v>
      </c>
      <c r="E6" s="10" t="s">
        <v>3</v>
      </c>
      <c r="F6" s="10" t="s">
        <v>3</v>
      </c>
      <c r="G6" s="10" t="s">
        <v>3</v>
      </c>
      <c r="H6" s="10" t="s">
        <v>3</v>
      </c>
      <c r="I6" s="10" t="s">
        <v>3</v>
      </c>
      <c r="J6" s="10" t="s">
        <v>3</v>
      </c>
      <c r="K6" s="10" t="s">
        <v>3</v>
      </c>
      <c r="L6" s="10" t="s">
        <v>3</v>
      </c>
      <c r="M6" s="11" t="s">
        <v>3</v>
      </c>
      <c r="N6" s="10" t="s">
        <v>3</v>
      </c>
      <c r="O6" s="10" t="s">
        <v>3</v>
      </c>
      <c r="P6" s="10" t="s">
        <v>3</v>
      </c>
      <c r="Q6" s="10" t="s">
        <v>3</v>
      </c>
      <c r="R6" s="10" t="s">
        <v>3</v>
      </c>
      <c r="S6" s="10" t="s">
        <v>3</v>
      </c>
      <c r="T6" s="10" t="s">
        <v>3</v>
      </c>
      <c r="U6" s="10" t="s">
        <v>3</v>
      </c>
      <c r="V6" s="10" t="s">
        <v>3</v>
      </c>
      <c r="W6" s="10" t="s">
        <v>3</v>
      </c>
      <c r="X6" s="10" t="s">
        <v>3</v>
      </c>
      <c r="Y6" s="11" t="s">
        <v>3</v>
      </c>
      <c r="Z6" s="10" t="s">
        <v>3</v>
      </c>
      <c r="AA6" s="10" t="s">
        <v>3</v>
      </c>
      <c r="AB6" s="10" t="s">
        <v>3</v>
      </c>
      <c r="AC6" s="10" t="s">
        <v>3</v>
      </c>
      <c r="AD6" s="10" t="s">
        <v>3</v>
      </c>
      <c r="AE6" s="10" t="s">
        <v>3</v>
      </c>
      <c r="AF6" s="10" t="s">
        <v>3</v>
      </c>
      <c r="AG6" s="10" t="s">
        <v>3</v>
      </c>
      <c r="AH6" s="10" t="s">
        <v>3</v>
      </c>
      <c r="AI6" s="10" t="s">
        <v>3</v>
      </c>
      <c r="AJ6" s="10" t="s">
        <v>3</v>
      </c>
      <c r="AK6" s="11" t="s">
        <v>3</v>
      </c>
      <c r="AL6" s="10" t="s">
        <v>3</v>
      </c>
      <c r="AM6" s="10" t="s">
        <v>3</v>
      </c>
      <c r="AN6" s="10" t="s">
        <v>3</v>
      </c>
      <c r="AO6" s="10" t="s">
        <v>3</v>
      </c>
      <c r="AP6" s="10" t="s">
        <v>3</v>
      </c>
      <c r="AQ6" s="10" t="s">
        <v>3</v>
      </c>
      <c r="AR6" s="10" t="s">
        <v>3</v>
      </c>
      <c r="AS6" s="10" t="s">
        <v>3</v>
      </c>
      <c r="AT6" s="10" t="s">
        <v>3</v>
      </c>
      <c r="AU6" s="10" t="s">
        <v>3</v>
      </c>
      <c r="AV6" s="10" t="s">
        <v>3</v>
      </c>
      <c r="AW6" s="11" t="s">
        <v>3</v>
      </c>
      <c r="AX6" s="10" t="s">
        <v>3</v>
      </c>
      <c r="AY6" s="10" t="s">
        <v>3</v>
      </c>
      <c r="AZ6" s="10" t="s">
        <v>3</v>
      </c>
      <c r="BA6" s="10" t="s">
        <v>3</v>
      </c>
      <c r="BB6" s="10" t="s">
        <v>3</v>
      </c>
      <c r="BC6" s="10" t="s">
        <v>3</v>
      </c>
      <c r="BD6" s="10" t="s">
        <v>3</v>
      </c>
      <c r="BE6" s="10" t="s">
        <v>3</v>
      </c>
      <c r="BF6" s="10" t="s">
        <v>3</v>
      </c>
      <c r="BG6" s="10" t="s">
        <v>3</v>
      </c>
      <c r="BH6" s="10" t="s">
        <v>3</v>
      </c>
      <c r="BI6" s="11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3</v>
      </c>
      <c r="BR6" s="10" t="s">
        <v>3</v>
      </c>
      <c r="BS6" s="10" t="s">
        <v>3</v>
      </c>
      <c r="BT6" s="10" t="s">
        <v>3</v>
      </c>
      <c r="BU6" s="11" t="s">
        <v>3</v>
      </c>
      <c r="BV6" s="10" t="s">
        <v>3</v>
      </c>
      <c r="BW6" s="10" t="s">
        <v>3</v>
      </c>
      <c r="BX6" s="10" t="s">
        <v>3</v>
      </c>
      <c r="BY6" s="10" t="s">
        <v>3</v>
      </c>
      <c r="BZ6" s="10" t="s">
        <v>3</v>
      </c>
      <c r="CA6" s="10" t="s">
        <v>3</v>
      </c>
      <c r="CB6" s="10" t="s">
        <v>3</v>
      </c>
      <c r="CC6" s="10" t="s">
        <v>3</v>
      </c>
      <c r="CD6" s="10" t="s">
        <v>3</v>
      </c>
      <c r="CE6" s="10" t="s">
        <v>3</v>
      </c>
      <c r="CF6" s="10" t="s">
        <v>3</v>
      </c>
      <c r="CG6" s="11" t="s">
        <v>3</v>
      </c>
      <c r="CH6" s="10" t="s">
        <v>3</v>
      </c>
      <c r="CI6" s="10" t="s">
        <v>3</v>
      </c>
      <c r="CJ6" s="10" t="s">
        <v>3</v>
      </c>
      <c r="CK6" s="10" t="s">
        <v>3</v>
      </c>
      <c r="CL6" s="10" t="s">
        <v>3</v>
      </c>
      <c r="CM6" s="10" t="s">
        <v>3</v>
      </c>
      <c r="CN6" s="10" t="s">
        <v>3</v>
      </c>
      <c r="CO6" s="10" t="s">
        <v>3</v>
      </c>
    </row>
    <row r="7" spans="1:93" s="12" customFormat="1" x14ac:dyDescent="0.2">
      <c r="A7" s="9" t="s">
        <v>6</v>
      </c>
      <c r="B7" s="10">
        <v>244.921559</v>
      </c>
      <c r="C7" s="10">
        <v>467.58150699999999</v>
      </c>
      <c r="D7" s="10">
        <v>485.840351</v>
      </c>
      <c r="E7" s="10">
        <v>264.45588099999998</v>
      </c>
      <c r="F7" s="10">
        <v>286.29010699999998</v>
      </c>
      <c r="G7" s="10">
        <v>189.697329</v>
      </c>
      <c r="H7" s="10">
        <v>227.26564400000001</v>
      </c>
      <c r="I7" s="10">
        <v>211.221034</v>
      </c>
      <c r="J7" s="10">
        <v>217.555161</v>
      </c>
      <c r="K7" s="10">
        <v>251.615441</v>
      </c>
      <c r="L7" s="10">
        <v>213.141899</v>
      </c>
      <c r="M7" s="11">
        <v>227.298393</v>
      </c>
      <c r="N7" s="10">
        <v>434.03904999999997</v>
      </c>
      <c r="O7" s="10">
        <v>711.00700300000005</v>
      </c>
      <c r="P7" s="10">
        <v>735.11776399999997</v>
      </c>
      <c r="Q7" s="10">
        <v>330.69527099999999</v>
      </c>
      <c r="R7" s="10">
        <v>273.50984499999998</v>
      </c>
      <c r="S7" s="10">
        <v>299.98178999999999</v>
      </c>
      <c r="T7" s="10">
        <v>328.68301100000002</v>
      </c>
      <c r="U7" s="10">
        <v>330.40473900000001</v>
      </c>
      <c r="V7" s="10">
        <v>357.76440200000002</v>
      </c>
      <c r="W7" s="10">
        <v>314.992659</v>
      </c>
      <c r="X7" s="10">
        <v>297.78706499999998</v>
      </c>
      <c r="Y7" s="11">
        <v>322.77043500000002</v>
      </c>
      <c r="Z7" s="10">
        <v>540.43757300000004</v>
      </c>
      <c r="AA7" s="10">
        <v>926.02922599999999</v>
      </c>
      <c r="AB7" s="10">
        <v>1205.8968709999999</v>
      </c>
      <c r="AC7" s="10">
        <v>492.09097000000003</v>
      </c>
      <c r="AD7" s="10">
        <v>444.297079</v>
      </c>
      <c r="AE7" s="10">
        <v>460.37307700000002</v>
      </c>
      <c r="AF7" s="10">
        <v>490.46057100000002</v>
      </c>
      <c r="AG7" s="10">
        <v>539.06845099999998</v>
      </c>
      <c r="AH7" s="10">
        <v>546.22186999999997</v>
      </c>
      <c r="AI7" s="10">
        <v>481.70980500000002</v>
      </c>
      <c r="AJ7" s="10">
        <v>448.29396000000003</v>
      </c>
      <c r="AK7" s="11">
        <v>523.26205200000004</v>
      </c>
      <c r="AL7" s="10">
        <v>902.94158100000004</v>
      </c>
      <c r="AM7" s="10">
        <v>1382.1109160000001</v>
      </c>
      <c r="AN7" s="10">
        <v>1548.0239879999999</v>
      </c>
      <c r="AO7" s="10">
        <v>600.93361700000003</v>
      </c>
      <c r="AP7" s="10">
        <v>678.322046</v>
      </c>
      <c r="AQ7" s="10">
        <v>699.89048700000001</v>
      </c>
      <c r="AR7" s="10">
        <v>676.34226899999999</v>
      </c>
      <c r="AS7" s="10">
        <v>857.57396500000004</v>
      </c>
      <c r="AT7" s="10">
        <v>843.35846800000002</v>
      </c>
      <c r="AU7" s="10">
        <v>682.26783799999998</v>
      </c>
      <c r="AV7" s="10">
        <v>736.21828700000003</v>
      </c>
      <c r="AW7" s="11">
        <v>746.50005599999997</v>
      </c>
      <c r="AX7" s="10">
        <v>1561.1859159999999</v>
      </c>
      <c r="AY7" s="10">
        <v>2067.4894239999999</v>
      </c>
      <c r="AZ7" s="10">
        <v>2802.9756769999999</v>
      </c>
      <c r="BA7" s="10">
        <v>1272.574192</v>
      </c>
      <c r="BB7" s="10">
        <v>1395.538724</v>
      </c>
      <c r="BC7" s="10">
        <v>1245.697459</v>
      </c>
      <c r="BD7" s="10">
        <v>1378.088321</v>
      </c>
      <c r="BE7" s="10">
        <v>1393.8211470000001</v>
      </c>
      <c r="BF7" s="10">
        <v>1284.8039980000001</v>
      </c>
      <c r="BG7" s="10">
        <v>1526.7478189999999</v>
      </c>
      <c r="BH7" s="10">
        <v>1406.1839050000001</v>
      </c>
      <c r="BI7" s="11">
        <v>1361.1612720000001</v>
      </c>
      <c r="BJ7" s="10">
        <v>3104.1792439999999</v>
      </c>
      <c r="BK7" s="10">
        <v>6354.2399919999998</v>
      </c>
      <c r="BL7" s="10">
        <v>8035.9853160000002</v>
      </c>
      <c r="BM7" s="10">
        <v>5239.1548320000002</v>
      </c>
      <c r="BN7" s="10">
        <v>3921.2004040000002</v>
      </c>
      <c r="BO7" s="10">
        <v>3794.0513799999999</v>
      </c>
      <c r="BP7" s="10">
        <v>4203.8005069999999</v>
      </c>
      <c r="BQ7" s="10">
        <v>4785.4256139999998</v>
      </c>
      <c r="BR7" s="10">
        <v>4864.1488719999998</v>
      </c>
      <c r="BS7" s="10">
        <v>5527.8787350000002</v>
      </c>
      <c r="BT7" s="10">
        <v>4891.2282759999998</v>
      </c>
      <c r="BU7" s="11">
        <v>5302.3384599999999</v>
      </c>
      <c r="BV7" s="10">
        <v>7664.2241320000003</v>
      </c>
      <c r="BW7" s="10">
        <v>15685.503445</v>
      </c>
      <c r="BX7" s="10">
        <v>21135.306539000001</v>
      </c>
      <c r="BY7" s="10">
        <v>12469.494962999999</v>
      </c>
      <c r="BZ7" s="10">
        <v>7403.0995249999996</v>
      </c>
      <c r="CA7" s="10">
        <v>6086.4279809999998</v>
      </c>
      <c r="CB7" s="10">
        <v>7472.9069079999999</v>
      </c>
      <c r="CC7" s="10">
        <v>7936.4602329999998</v>
      </c>
      <c r="CD7" s="10">
        <v>7043.9747280000001</v>
      </c>
      <c r="CE7" s="10">
        <v>7997.7796390000003</v>
      </c>
      <c r="CF7" s="10">
        <v>7328.1906129999998</v>
      </c>
      <c r="CG7" s="11">
        <v>8821.6218919999992</v>
      </c>
      <c r="CH7" s="10">
        <v>13412.596591</v>
      </c>
      <c r="CI7" s="10">
        <v>18874.838366</v>
      </c>
      <c r="CJ7" s="10">
        <v>26033.658823000002</v>
      </c>
      <c r="CK7" s="10">
        <v>18972.821634</v>
      </c>
      <c r="CL7" s="10">
        <v>9310.1454830000002</v>
      </c>
      <c r="CM7" s="10">
        <v>9507.2764480000005</v>
      </c>
      <c r="CN7" s="10">
        <v>9702.4488000000001</v>
      </c>
      <c r="CO7" s="10">
        <v>9261.5754410000009</v>
      </c>
    </row>
    <row r="8" spans="1:93" s="12" customFormat="1" x14ac:dyDescent="0.2">
      <c r="A8" s="9" t="s">
        <v>56</v>
      </c>
      <c r="B8" s="10" t="s">
        <v>3</v>
      </c>
      <c r="C8" s="10" t="s">
        <v>3</v>
      </c>
      <c r="D8" s="10" t="s">
        <v>3</v>
      </c>
      <c r="E8" s="10" t="s">
        <v>3</v>
      </c>
      <c r="F8" s="10" t="s">
        <v>3</v>
      </c>
      <c r="G8" s="10" t="s">
        <v>3</v>
      </c>
      <c r="H8" s="10" t="s">
        <v>3</v>
      </c>
      <c r="I8" s="10" t="s">
        <v>3</v>
      </c>
      <c r="J8" s="10" t="s">
        <v>3</v>
      </c>
      <c r="K8" s="10" t="s">
        <v>3</v>
      </c>
      <c r="L8" s="10" t="s">
        <v>3</v>
      </c>
      <c r="M8" s="11" t="s">
        <v>3</v>
      </c>
      <c r="N8" s="10" t="s">
        <v>3</v>
      </c>
      <c r="O8" s="10" t="s">
        <v>3</v>
      </c>
      <c r="P8" s="10" t="s">
        <v>3</v>
      </c>
      <c r="Q8" s="10" t="s">
        <v>3</v>
      </c>
      <c r="R8" s="10" t="s">
        <v>3</v>
      </c>
      <c r="S8" s="10" t="s">
        <v>3</v>
      </c>
      <c r="T8" s="10" t="s">
        <v>3</v>
      </c>
      <c r="U8" s="10" t="s">
        <v>3</v>
      </c>
      <c r="V8" s="10" t="s">
        <v>3</v>
      </c>
      <c r="W8" s="10" t="s">
        <v>3</v>
      </c>
      <c r="X8" s="10" t="s">
        <v>3</v>
      </c>
      <c r="Y8" s="11" t="s">
        <v>3</v>
      </c>
      <c r="Z8" s="10" t="s">
        <v>3</v>
      </c>
      <c r="AA8" s="10" t="s">
        <v>3</v>
      </c>
      <c r="AB8" s="10" t="s">
        <v>3</v>
      </c>
      <c r="AC8" s="10" t="s">
        <v>3</v>
      </c>
      <c r="AD8" s="10" t="s">
        <v>3</v>
      </c>
      <c r="AE8" s="10" t="s">
        <v>3</v>
      </c>
      <c r="AF8" s="10" t="s">
        <v>3</v>
      </c>
      <c r="AG8" s="10" t="s">
        <v>3</v>
      </c>
      <c r="AH8" s="10" t="s">
        <v>3</v>
      </c>
      <c r="AI8" s="10" t="s">
        <v>3</v>
      </c>
      <c r="AJ8" s="10" t="s">
        <v>3</v>
      </c>
      <c r="AK8" s="11" t="s">
        <v>3</v>
      </c>
      <c r="AL8" s="10" t="s">
        <v>3</v>
      </c>
      <c r="AM8" s="10" t="s">
        <v>3</v>
      </c>
      <c r="AN8" s="10" t="s">
        <v>3</v>
      </c>
      <c r="AO8" s="10" t="s">
        <v>3</v>
      </c>
      <c r="AP8" s="10" t="s">
        <v>3</v>
      </c>
      <c r="AQ8" s="10" t="s">
        <v>3</v>
      </c>
      <c r="AR8" s="10" t="s">
        <v>3</v>
      </c>
      <c r="AS8" s="10" t="s">
        <v>3</v>
      </c>
      <c r="AT8" s="10" t="s">
        <v>3</v>
      </c>
      <c r="AU8" s="10" t="s">
        <v>3</v>
      </c>
      <c r="AV8" s="10" t="s">
        <v>3</v>
      </c>
      <c r="AW8" s="11" t="s">
        <v>3</v>
      </c>
      <c r="AX8" s="10" t="s">
        <v>3</v>
      </c>
      <c r="AY8" s="10" t="s">
        <v>3</v>
      </c>
      <c r="AZ8" s="10" t="s">
        <v>3</v>
      </c>
      <c r="BA8" s="10" t="s">
        <v>3</v>
      </c>
      <c r="BB8" s="10" t="s">
        <v>3</v>
      </c>
      <c r="BC8" s="10" t="s">
        <v>3</v>
      </c>
      <c r="BD8" s="10" t="s">
        <v>3</v>
      </c>
      <c r="BE8" s="10" t="s">
        <v>3</v>
      </c>
      <c r="BF8" s="10" t="s">
        <v>3</v>
      </c>
      <c r="BG8" s="10" t="s">
        <v>3</v>
      </c>
      <c r="BH8" s="10" t="s">
        <v>3</v>
      </c>
      <c r="BI8" s="11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3</v>
      </c>
      <c r="BR8" s="10" t="s">
        <v>3</v>
      </c>
      <c r="BS8" s="10" t="s">
        <v>3</v>
      </c>
      <c r="BT8" s="10" t="s">
        <v>3</v>
      </c>
      <c r="BU8" s="11" t="s">
        <v>3</v>
      </c>
      <c r="BV8" s="10" t="s">
        <v>3</v>
      </c>
      <c r="BW8" s="10" t="s">
        <v>3</v>
      </c>
      <c r="BX8" s="10" t="s">
        <v>3</v>
      </c>
      <c r="BY8" s="10" t="s">
        <v>3</v>
      </c>
      <c r="BZ8" s="10" t="s">
        <v>3</v>
      </c>
      <c r="CA8" s="10" t="s">
        <v>3</v>
      </c>
      <c r="CB8" s="10" t="s">
        <v>3</v>
      </c>
      <c r="CC8" s="10" t="s">
        <v>3</v>
      </c>
      <c r="CD8" s="10" t="s">
        <v>3</v>
      </c>
      <c r="CE8" s="10" t="s">
        <v>3</v>
      </c>
      <c r="CF8" s="10" t="s">
        <v>3</v>
      </c>
      <c r="CG8" s="11" t="s">
        <v>3</v>
      </c>
      <c r="CH8" s="10" t="s">
        <v>3</v>
      </c>
      <c r="CI8" s="10" t="s">
        <v>3</v>
      </c>
      <c r="CJ8" s="10" t="s">
        <v>3</v>
      </c>
      <c r="CK8" s="10" t="s">
        <v>3</v>
      </c>
      <c r="CL8" s="10" t="s">
        <v>3</v>
      </c>
      <c r="CM8" s="10" t="s">
        <v>3</v>
      </c>
      <c r="CN8" s="10" t="s">
        <v>3</v>
      </c>
      <c r="CO8" s="10"/>
    </row>
    <row r="9" spans="1:93" s="12" customFormat="1" x14ac:dyDescent="0.2">
      <c r="A9" s="9" t="s">
        <v>7</v>
      </c>
      <c r="B9" s="10">
        <v>49.985984000000002</v>
      </c>
      <c r="C9" s="10">
        <v>35.883445999999999</v>
      </c>
      <c r="D9" s="10">
        <v>679.12586499999998</v>
      </c>
      <c r="E9" s="10">
        <v>151.577236</v>
      </c>
      <c r="F9" s="10">
        <v>132.04373200000001</v>
      </c>
      <c r="G9" s="10">
        <v>395.052346</v>
      </c>
      <c r="H9" s="10">
        <v>118.441045</v>
      </c>
      <c r="I9" s="10">
        <v>86.734027999999995</v>
      </c>
      <c r="J9" s="10">
        <v>387.28732100000002</v>
      </c>
      <c r="K9" s="10">
        <v>102.851051</v>
      </c>
      <c r="L9" s="10">
        <v>375.99798099999998</v>
      </c>
      <c r="M9" s="11">
        <v>90.147651999999994</v>
      </c>
      <c r="N9" s="10">
        <v>72.247743</v>
      </c>
      <c r="O9" s="10">
        <v>47.504002</v>
      </c>
      <c r="P9" s="10">
        <v>892.62888499999997</v>
      </c>
      <c r="Q9" s="10">
        <v>66.302347999999995</v>
      </c>
      <c r="R9" s="10">
        <v>76.958332999999996</v>
      </c>
      <c r="S9" s="10">
        <v>582.30616699999996</v>
      </c>
      <c r="T9" s="10">
        <v>133.07894300000001</v>
      </c>
      <c r="U9" s="10">
        <v>107.595705</v>
      </c>
      <c r="V9" s="10">
        <v>590.10559599999999</v>
      </c>
      <c r="W9" s="10">
        <v>134.98755299999999</v>
      </c>
      <c r="X9" s="10">
        <v>577.72352799999999</v>
      </c>
      <c r="Y9" s="11">
        <v>120.164665</v>
      </c>
      <c r="Z9" s="10">
        <v>88.711337999999998</v>
      </c>
      <c r="AA9" s="10">
        <v>70.74427</v>
      </c>
      <c r="AB9" s="10">
        <v>1428.6248459999999</v>
      </c>
      <c r="AC9" s="10">
        <v>148.86000000000001</v>
      </c>
      <c r="AD9" s="10">
        <v>167.38041699999999</v>
      </c>
      <c r="AE9" s="10">
        <v>933.37141499999996</v>
      </c>
      <c r="AF9" s="10">
        <v>242.55035100000001</v>
      </c>
      <c r="AG9" s="10">
        <v>212.21777700000001</v>
      </c>
      <c r="AH9" s="10">
        <v>936.88557000000003</v>
      </c>
      <c r="AI9" s="10">
        <v>222.833214</v>
      </c>
      <c r="AJ9" s="10">
        <v>904.19365600000003</v>
      </c>
      <c r="AK9" s="11">
        <v>222.220868</v>
      </c>
      <c r="AL9" s="10">
        <v>136.87184999999999</v>
      </c>
      <c r="AM9" s="10">
        <v>137.683795</v>
      </c>
      <c r="AN9" s="10">
        <v>2352.6629160000002</v>
      </c>
      <c r="AO9" s="10">
        <v>235.84742600000001</v>
      </c>
      <c r="AP9" s="10">
        <v>240.279967</v>
      </c>
      <c r="AQ9" s="10">
        <v>1395.5479660000001</v>
      </c>
      <c r="AR9" s="10">
        <v>273.96866199999999</v>
      </c>
      <c r="AS9" s="10">
        <v>346.023706</v>
      </c>
      <c r="AT9" s="10">
        <v>1408.3944019999999</v>
      </c>
      <c r="AU9" s="10">
        <v>332.52811100000002</v>
      </c>
      <c r="AV9" s="10">
        <v>1459.219799</v>
      </c>
      <c r="AW9" s="11">
        <v>315.54804200000001</v>
      </c>
      <c r="AX9" s="10">
        <v>232.361582</v>
      </c>
      <c r="AY9" s="10">
        <v>183.46581699999999</v>
      </c>
      <c r="AZ9" s="10">
        <v>3907.7903270000002</v>
      </c>
      <c r="BA9" s="10">
        <v>424.470979</v>
      </c>
      <c r="BB9" s="10">
        <v>454.75818099999998</v>
      </c>
      <c r="BC9" s="10">
        <v>2487.1581940000001</v>
      </c>
      <c r="BD9" s="10">
        <v>660.761617</v>
      </c>
      <c r="BE9" s="10">
        <v>832.30449899999996</v>
      </c>
      <c r="BF9" s="10">
        <v>2672.4094759999998</v>
      </c>
      <c r="BG9" s="10">
        <v>659.51157999999998</v>
      </c>
      <c r="BH9" s="10">
        <v>2831.407627</v>
      </c>
      <c r="BI9" s="11">
        <v>623.04098699999997</v>
      </c>
      <c r="BJ9" s="10">
        <v>544.47363700000005</v>
      </c>
      <c r="BK9" s="10">
        <v>365.20085899999998</v>
      </c>
      <c r="BL9" s="10">
        <v>413.75507599999997</v>
      </c>
      <c r="BM9" s="10">
        <v>908.966635</v>
      </c>
      <c r="BN9" s="10">
        <v>12547.545743999999</v>
      </c>
      <c r="BO9" s="10">
        <v>1445.61319</v>
      </c>
      <c r="BP9" s="10">
        <v>7597.6577390000002</v>
      </c>
      <c r="BQ9" s="10">
        <v>2132.6436349999999</v>
      </c>
      <c r="BR9" s="10">
        <v>7460.1545960000003</v>
      </c>
      <c r="BS9" s="10">
        <v>1646.5794330000001</v>
      </c>
      <c r="BT9" s="10">
        <v>7760.4678080000003</v>
      </c>
      <c r="BU9" s="11">
        <v>1709.8623709999999</v>
      </c>
      <c r="BV9" s="10">
        <v>1475.741843</v>
      </c>
      <c r="BW9" s="10">
        <v>1028.7191600000001</v>
      </c>
      <c r="BX9" s="10">
        <v>21004.953916999999</v>
      </c>
      <c r="BY9" s="10">
        <v>3288.1089830000001</v>
      </c>
      <c r="BZ9" s="10">
        <v>12765.362649999999</v>
      </c>
      <c r="CA9" s="10">
        <v>4223.3590039999999</v>
      </c>
      <c r="CB9" s="10">
        <v>12903.069669</v>
      </c>
      <c r="CC9" s="10">
        <v>5461.6319229999999</v>
      </c>
      <c r="CD9" s="10">
        <v>15822.354481</v>
      </c>
      <c r="CE9" s="10">
        <v>5307.9424769999996</v>
      </c>
      <c r="CF9" s="10">
        <v>13853.807986</v>
      </c>
      <c r="CG9" s="11">
        <v>4548.5577000000003</v>
      </c>
      <c r="CH9" s="10">
        <v>2998.2586489999999</v>
      </c>
      <c r="CI9" s="10">
        <v>2075.4131969999999</v>
      </c>
      <c r="CJ9" s="10">
        <v>6963.6919500000004</v>
      </c>
      <c r="CK9" s="10">
        <v>30426.658221000002</v>
      </c>
      <c r="CL9" s="10">
        <v>17627.227651000001</v>
      </c>
      <c r="CM9" s="10">
        <v>5160.1875220000002</v>
      </c>
      <c r="CN9" s="10">
        <v>20107.158447000002</v>
      </c>
      <c r="CO9" s="10">
        <v>4815.5486849999998</v>
      </c>
    </row>
    <row r="10" spans="1:93" s="12" customFormat="1" x14ac:dyDescent="0.2">
      <c r="A10" s="9" t="s">
        <v>29</v>
      </c>
      <c r="B10" s="10" t="s">
        <v>3</v>
      </c>
      <c r="C10" s="10" t="s">
        <v>3</v>
      </c>
      <c r="D10" s="10" t="s">
        <v>3</v>
      </c>
      <c r="E10" s="10" t="s">
        <v>3</v>
      </c>
      <c r="F10" s="10" t="s">
        <v>3</v>
      </c>
      <c r="G10" s="10" t="s">
        <v>3</v>
      </c>
      <c r="H10" s="10" t="s">
        <v>3</v>
      </c>
      <c r="I10" s="10" t="s">
        <v>3</v>
      </c>
      <c r="J10" s="10" t="s">
        <v>3</v>
      </c>
      <c r="K10" s="10" t="s">
        <v>3</v>
      </c>
      <c r="L10" s="10" t="s">
        <v>3</v>
      </c>
      <c r="M10" s="11" t="s">
        <v>3</v>
      </c>
      <c r="N10" s="10" t="s">
        <v>3</v>
      </c>
      <c r="O10" s="10" t="s">
        <v>3</v>
      </c>
      <c r="P10" s="10" t="s">
        <v>3</v>
      </c>
      <c r="Q10" s="10" t="s">
        <v>3</v>
      </c>
      <c r="R10" s="10" t="s">
        <v>3</v>
      </c>
      <c r="S10" s="10" t="s">
        <v>3</v>
      </c>
      <c r="T10" s="10" t="s">
        <v>3</v>
      </c>
      <c r="U10" s="10" t="s">
        <v>3</v>
      </c>
      <c r="V10" s="10" t="s">
        <v>3</v>
      </c>
      <c r="W10" s="10" t="s">
        <v>3</v>
      </c>
      <c r="X10" s="10" t="s">
        <v>3</v>
      </c>
      <c r="Y10" s="11" t="s">
        <v>3</v>
      </c>
      <c r="Z10" s="10" t="s">
        <v>3</v>
      </c>
      <c r="AA10" s="10" t="s">
        <v>3</v>
      </c>
      <c r="AB10" s="10" t="s">
        <v>3</v>
      </c>
      <c r="AC10" s="10" t="s">
        <v>3</v>
      </c>
      <c r="AD10" s="10" t="s">
        <v>3</v>
      </c>
      <c r="AE10" s="10" t="s">
        <v>3</v>
      </c>
      <c r="AF10" s="10" t="s">
        <v>3</v>
      </c>
      <c r="AG10" s="10" t="s">
        <v>3</v>
      </c>
      <c r="AH10" s="10" t="s">
        <v>3</v>
      </c>
      <c r="AI10" s="10" t="s">
        <v>3</v>
      </c>
      <c r="AJ10" s="10" t="s">
        <v>3</v>
      </c>
      <c r="AK10" s="11" t="s">
        <v>3</v>
      </c>
      <c r="AL10" s="10" t="s">
        <v>3</v>
      </c>
      <c r="AM10" s="10" t="s">
        <v>3</v>
      </c>
      <c r="AN10" s="10" t="s">
        <v>3</v>
      </c>
      <c r="AO10" s="10" t="s">
        <v>3</v>
      </c>
      <c r="AP10" s="10" t="s">
        <v>3</v>
      </c>
      <c r="AQ10" s="10" t="s">
        <v>3</v>
      </c>
      <c r="AR10" s="10" t="s">
        <v>3</v>
      </c>
      <c r="AS10" s="10" t="s">
        <v>3</v>
      </c>
      <c r="AT10" s="10" t="s">
        <v>3</v>
      </c>
      <c r="AU10" s="10" t="s">
        <v>3</v>
      </c>
      <c r="AV10" s="10" t="s">
        <v>3</v>
      </c>
      <c r="AW10" s="11" t="s">
        <v>3</v>
      </c>
      <c r="AX10" s="10" t="s">
        <v>3</v>
      </c>
      <c r="AY10" s="10" t="s">
        <v>3</v>
      </c>
      <c r="AZ10" s="10" t="s">
        <v>3</v>
      </c>
      <c r="BA10" s="10" t="s">
        <v>3</v>
      </c>
      <c r="BB10" s="10" t="s">
        <v>3</v>
      </c>
      <c r="BC10" s="10" t="s">
        <v>3</v>
      </c>
      <c r="BD10" s="10" t="s">
        <v>3</v>
      </c>
      <c r="BE10" s="10" t="s">
        <v>3</v>
      </c>
      <c r="BF10" s="10" t="s">
        <v>3</v>
      </c>
      <c r="BG10" s="10" t="s">
        <v>3</v>
      </c>
      <c r="BH10" s="10" t="s">
        <v>3</v>
      </c>
      <c r="BI10" s="11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3</v>
      </c>
      <c r="BR10" s="10" t="s">
        <v>3</v>
      </c>
      <c r="BS10" s="10" t="s">
        <v>3</v>
      </c>
      <c r="BT10" s="10" t="s">
        <v>3</v>
      </c>
      <c r="BU10" s="11" t="s">
        <v>3</v>
      </c>
      <c r="BV10" s="10" t="s">
        <v>3</v>
      </c>
      <c r="BW10" s="10" t="s">
        <v>3</v>
      </c>
      <c r="BX10" s="10" t="s">
        <v>3</v>
      </c>
      <c r="BY10" s="10" t="s">
        <v>3</v>
      </c>
      <c r="BZ10" s="10" t="s">
        <v>3</v>
      </c>
      <c r="CA10" s="10" t="s">
        <v>3</v>
      </c>
      <c r="CB10" s="10" t="s">
        <v>3</v>
      </c>
      <c r="CC10" s="10" t="s">
        <v>3</v>
      </c>
      <c r="CD10" s="10" t="s">
        <v>3</v>
      </c>
      <c r="CE10" s="10" t="s">
        <v>3</v>
      </c>
      <c r="CF10" s="10" t="s">
        <v>3</v>
      </c>
      <c r="CG10" s="11" t="s">
        <v>3</v>
      </c>
      <c r="CH10" s="10" t="s">
        <v>3</v>
      </c>
      <c r="CI10" s="10" t="s">
        <v>3</v>
      </c>
      <c r="CJ10" s="10" t="s">
        <v>3</v>
      </c>
      <c r="CK10" s="10" t="s">
        <v>3</v>
      </c>
      <c r="CL10" s="10" t="s">
        <v>3</v>
      </c>
      <c r="CM10" s="10" t="s">
        <v>3</v>
      </c>
      <c r="CN10" s="10" t="s">
        <v>3</v>
      </c>
      <c r="CO10" s="10" t="s">
        <v>3</v>
      </c>
    </row>
    <row r="11" spans="1:93" s="12" customFormat="1" x14ac:dyDescent="0.2">
      <c r="A11" s="9" t="s">
        <v>34</v>
      </c>
      <c r="B11" s="10" t="s">
        <v>3</v>
      </c>
      <c r="C11" s="10" t="s">
        <v>3</v>
      </c>
      <c r="D11" s="10" t="s">
        <v>3</v>
      </c>
      <c r="E11" s="10" t="s">
        <v>3</v>
      </c>
      <c r="F11" s="10" t="s">
        <v>3</v>
      </c>
      <c r="G11" s="10" t="s">
        <v>3</v>
      </c>
      <c r="H11" s="10" t="s">
        <v>3</v>
      </c>
      <c r="I11" s="10" t="s">
        <v>3</v>
      </c>
      <c r="J11" s="10" t="s">
        <v>3</v>
      </c>
      <c r="K11" s="10" t="s">
        <v>3</v>
      </c>
      <c r="L11" s="10" t="s">
        <v>3</v>
      </c>
      <c r="M11" s="11" t="s">
        <v>3</v>
      </c>
      <c r="N11" s="10" t="s">
        <v>3</v>
      </c>
      <c r="O11" s="10" t="s">
        <v>3</v>
      </c>
      <c r="P11" s="10" t="s">
        <v>3</v>
      </c>
      <c r="Q11" s="10" t="s">
        <v>3</v>
      </c>
      <c r="R11" s="10" t="s">
        <v>3</v>
      </c>
      <c r="S11" s="10" t="s">
        <v>3</v>
      </c>
      <c r="T11" s="10" t="s">
        <v>3</v>
      </c>
      <c r="U11" s="10" t="s">
        <v>3</v>
      </c>
      <c r="V11" s="10" t="s">
        <v>3</v>
      </c>
      <c r="W11" s="10" t="s">
        <v>3</v>
      </c>
      <c r="X11" s="10" t="s">
        <v>3</v>
      </c>
      <c r="Y11" s="11" t="s">
        <v>3</v>
      </c>
      <c r="Z11" s="10" t="s">
        <v>3</v>
      </c>
      <c r="AA11" s="10" t="s">
        <v>3</v>
      </c>
      <c r="AB11" s="10" t="s">
        <v>3</v>
      </c>
      <c r="AC11" s="10" t="s">
        <v>3</v>
      </c>
      <c r="AD11" s="10" t="s">
        <v>3</v>
      </c>
      <c r="AE11" s="10" t="s">
        <v>3</v>
      </c>
      <c r="AF11" s="10" t="s">
        <v>3</v>
      </c>
      <c r="AG11" s="10" t="s">
        <v>3</v>
      </c>
      <c r="AH11" s="10" t="s">
        <v>3</v>
      </c>
      <c r="AI11" s="10" t="s">
        <v>3</v>
      </c>
      <c r="AJ11" s="10" t="s">
        <v>3</v>
      </c>
      <c r="AK11" s="11" t="s">
        <v>3</v>
      </c>
      <c r="AL11" s="10" t="s">
        <v>3</v>
      </c>
      <c r="AM11" s="10" t="s">
        <v>3</v>
      </c>
      <c r="AN11" s="10" t="s">
        <v>3</v>
      </c>
      <c r="AO11" s="10" t="s">
        <v>3</v>
      </c>
      <c r="AP11" s="10" t="s">
        <v>3</v>
      </c>
      <c r="AQ11" s="10" t="s">
        <v>3</v>
      </c>
      <c r="AR11" s="10" t="s">
        <v>3</v>
      </c>
      <c r="AS11" s="10" t="s">
        <v>3</v>
      </c>
      <c r="AT11" s="10" t="s">
        <v>3</v>
      </c>
      <c r="AU11" s="10" t="s">
        <v>3</v>
      </c>
      <c r="AV11" s="10" t="s">
        <v>3</v>
      </c>
      <c r="AW11" s="11" t="s">
        <v>3</v>
      </c>
      <c r="AX11" s="10" t="s">
        <v>3</v>
      </c>
      <c r="AY11" s="10" t="s">
        <v>3</v>
      </c>
      <c r="AZ11" s="10" t="s">
        <v>3</v>
      </c>
      <c r="BA11" s="10" t="s">
        <v>3</v>
      </c>
      <c r="BB11" s="10" t="s">
        <v>3</v>
      </c>
      <c r="BC11" s="10" t="s">
        <v>3</v>
      </c>
      <c r="BD11" s="10" t="s">
        <v>3</v>
      </c>
      <c r="BE11" s="10" t="s">
        <v>3</v>
      </c>
      <c r="BF11" s="10" t="s">
        <v>3</v>
      </c>
      <c r="BG11" s="10" t="s">
        <v>3</v>
      </c>
      <c r="BH11" s="10" t="s">
        <v>3</v>
      </c>
      <c r="BI11" s="11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3</v>
      </c>
      <c r="BR11" s="10" t="s">
        <v>3</v>
      </c>
      <c r="BS11" s="10" t="s">
        <v>3</v>
      </c>
      <c r="BT11" s="10" t="s">
        <v>3</v>
      </c>
      <c r="BU11" s="11" t="s">
        <v>3</v>
      </c>
      <c r="BV11" s="10" t="s">
        <v>3</v>
      </c>
      <c r="BW11" s="10" t="s">
        <v>3</v>
      </c>
      <c r="BX11" s="10" t="s">
        <v>3</v>
      </c>
      <c r="BY11" s="10" t="s">
        <v>3</v>
      </c>
      <c r="BZ11" s="10" t="s">
        <v>3</v>
      </c>
      <c r="CA11" s="10" t="s">
        <v>3</v>
      </c>
      <c r="CB11" s="10" t="s">
        <v>3</v>
      </c>
      <c r="CC11" s="10" t="s">
        <v>3</v>
      </c>
      <c r="CD11" s="10" t="s">
        <v>3</v>
      </c>
      <c r="CE11" s="10" t="s">
        <v>3</v>
      </c>
      <c r="CF11" s="10" t="s">
        <v>3</v>
      </c>
      <c r="CG11" s="11" t="s">
        <v>3</v>
      </c>
      <c r="CH11" s="10" t="s">
        <v>3</v>
      </c>
      <c r="CI11" s="10" t="s">
        <v>3</v>
      </c>
      <c r="CJ11" s="10" t="s">
        <v>3</v>
      </c>
      <c r="CK11" s="10" t="s">
        <v>3</v>
      </c>
      <c r="CL11" s="10" t="s">
        <v>3</v>
      </c>
      <c r="CM11" s="10" t="s">
        <v>3</v>
      </c>
      <c r="CN11" s="10" t="s">
        <v>3</v>
      </c>
      <c r="CO11" s="10" t="s">
        <v>3</v>
      </c>
    </row>
    <row r="12" spans="1:93" s="12" customFormat="1" x14ac:dyDescent="0.2">
      <c r="A12" s="9" t="s">
        <v>27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1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  <c r="X12" s="10" t="s">
        <v>24</v>
      </c>
      <c r="Y12" s="11" t="s">
        <v>24</v>
      </c>
      <c r="Z12" s="10" t="s">
        <v>24</v>
      </c>
      <c r="AA12" s="10" t="s">
        <v>24</v>
      </c>
      <c r="AB12" s="10" t="s">
        <v>24</v>
      </c>
      <c r="AC12" s="10" t="s">
        <v>24</v>
      </c>
      <c r="AD12" s="10" t="s">
        <v>24</v>
      </c>
      <c r="AE12" s="10" t="s">
        <v>24</v>
      </c>
      <c r="AF12" s="10" t="s">
        <v>24</v>
      </c>
      <c r="AG12" s="10" t="s">
        <v>24</v>
      </c>
      <c r="AH12" s="10" t="s">
        <v>24</v>
      </c>
      <c r="AI12" s="10" t="s">
        <v>24</v>
      </c>
      <c r="AJ12" s="10" t="s">
        <v>24</v>
      </c>
      <c r="AK12" s="11" t="s">
        <v>24</v>
      </c>
      <c r="AL12" s="10" t="s">
        <v>24</v>
      </c>
      <c r="AM12" s="10" t="s">
        <v>24</v>
      </c>
      <c r="AN12" s="10" t="s">
        <v>24</v>
      </c>
      <c r="AO12" s="10" t="s">
        <v>24</v>
      </c>
      <c r="AP12" s="10" t="s">
        <v>24</v>
      </c>
      <c r="AQ12" s="10" t="s">
        <v>24</v>
      </c>
      <c r="AR12" s="10" t="s">
        <v>24</v>
      </c>
      <c r="AS12" s="10" t="s">
        <v>24</v>
      </c>
      <c r="AT12" s="10" t="s">
        <v>24</v>
      </c>
      <c r="AU12" s="10" t="s">
        <v>24</v>
      </c>
      <c r="AV12" s="10" t="s">
        <v>24</v>
      </c>
      <c r="AW12" s="11" t="s">
        <v>24</v>
      </c>
      <c r="AX12" s="10" t="s">
        <v>24</v>
      </c>
      <c r="AY12" s="10" t="s">
        <v>24</v>
      </c>
      <c r="AZ12" s="10" t="s">
        <v>24</v>
      </c>
      <c r="BA12" s="10" t="s">
        <v>24</v>
      </c>
      <c r="BB12" s="10" t="s">
        <v>24</v>
      </c>
      <c r="BC12" s="10" t="s">
        <v>24</v>
      </c>
      <c r="BD12" s="10" t="s">
        <v>24</v>
      </c>
      <c r="BE12" s="10" t="s">
        <v>24</v>
      </c>
      <c r="BF12" s="10" t="s">
        <v>24</v>
      </c>
      <c r="BG12" s="10" t="s">
        <v>24</v>
      </c>
      <c r="BH12" s="10" t="s">
        <v>24</v>
      </c>
      <c r="BI12" s="11" t="s">
        <v>24</v>
      </c>
      <c r="BJ12" s="10">
        <v>662.60203146000003</v>
      </c>
      <c r="BK12" s="10">
        <v>1080.50898461</v>
      </c>
      <c r="BL12" s="10">
        <v>382.28868864999998</v>
      </c>
      <c r="BM12" s="10">
        <v>836.69379435999997</v>
      </c>
      <c r="BN12" s="10">
        <v>524.85226537000005</v>
      </c>
      <c r="BO12" s="10">
        <v>945.33660535000001</v>
      </c>
      <c r="BP12" s="10">
        <v>686.81202776999999</v>
      </c>
      <c r="BQ12" s="10">
        <v>1110.9111004400002</v>
      </c>
      <c r="BR12" s="10">
        <v>536.07760883000003</v>
      </c>
      <c r="BS12" s="10">
        <v>1236.01316718</v>
      </c>
      <c r="BT12" s="10">
        <v>541.74889008000002</v>
      </c>
      <c r="BU12" s="11">
        <v>1345.3526357999999</v>
      </c>
      <c r="BV12" s="10">
        <v>1425.2763097100001</v>
      </c>
      <c r="BW12" s="10">
        <v>2767.37410649</v>
      </c>
      <c r="BX12" s="10">
        <v>954.70501342</v>
      </c>
      <c r="BY12" s="10">
        <v>2171.83401598</v>
      </c>
      <c r="BZ12" s="10">
        <v>1096.2609100899999</v>
      </c>
      <c r="CA12" s="10">
        <v>2436.7688785999999</v>
      </c>
      <c r="CB12" s="10">
        <v>1428.3289006299999</v>
      </c>
      <c r="CC12" s="10">
        <v>2760.28855393</v>
      </c>
      <c r="CD12" s="10">
        <v>1460.24801768</v>
      </c>
      <c r="CE12" s="10">
        <v>3003.1132573099999</v>
      </c>
      <c r="CF12" s="10">
        <v>1077.4365812599999</v>
      </c>
      <c r="CG12" s="11">
        <v>3545.1894035800001</v>
      </c>
      <c r="CH12" s="10">
        <v>2514.5516626399999</v>
      </c>
      <c r="CI12" s="10">
        <v>4482.84153608</v>
      </c>
      <c r="CJ12" s="10">
        <v>3029.0528912899999</v>
      </c>
      <c r="CK12" s="10">
        <v>4215.95658912</v>
      </c>
      <c r="CL12" s="10">
        <v>2439.4792026599998</v>
      </c>
      <c r="CM12" s="10">
        <v>4416.1244420900002</v>
      </c>
      <c r="CN12" s="10">
        <v>2202.5879471900002</v>
      </c>
      <c r="CO12" s="10"/>
    </row>
    <row r="13" spans="1:93" s="12" customFormat="1" x14ac:dyDescent="0.2">
      <c r="A13" s="9" t="s">
        <v>10</v>
      </c>
      <c r="B13" s="10">
        <v>13.327746900000001</v>
      </c>
      <c r="C13" s="10">
        <v>17.56612822</v>
      </c>
      <c r="D13" s="10">
        <v>64.279485530000002</v>
      </c>
      <c r="E13" s="10">
        <v>19.8495755</v>
      </c>
      <c r="F13" s="10">
        <v>17.260618920000002</v>
      </c>
      <c r="G13" s="10">
        <v>13.75034767</v>
      </c>
      <c r="H13" s="10">
        <v>18.124508550000002</v>
      </c>
      <c r="I13" s="10">
        <v>22.223330109999999</v>
      </c>
      <c r="J13" s="10">
        <v>35.274009450000001</v>
      </c>
      <c r="K13" s="10">
        <v>22.974459339999999</v>
      </c>
      <c r="L13" s="10">
        <v>18.536387079999997</v>
      </c>
      <c r="M13" s="11">
        <v>22.279086379999967</v>
      </c>
      <c r="N13" s="10">
        <v>20.656395719999999</v>
      </c>
      <c r="O13" s="10">
        <v>21.336757260000002</v>
      </c>
      <c r="P13" s="10">
        <v>64.901575739999998</v>
      </c>
      <c r="Q13" s="10">
        <v>17.962932780000003</v>
      </c>
      <c r="R13" s="10">
        <v>25.948695319999999</v>
      </c>
      <c r="S13" s="10">
        <v>25.129884059999998</v>
      </c>
      <c r="T13" s="10">
        <v>23.3814119</v>
      </c>
      <c r="U13" s="10">
        <v>17.351879989999997</v>
      </c>
      <c r="V13" s="10">
        <v>22.353527140000001</v>
      </c>
      <c r="W13" s="10">
        <v>20.46730857</v>
      </c>
      <c r="X13" s="10">
        <v>21.225000920000003</v>
      </c>
      <c r="Y13" s="11">
        <v>30.935700129999997</v>
      </c>
      <c r="Z13" s="10">
        <v>30.536339890000001</v>
      </c>
      <c r="AA13" s="10">
        <v>37.064604409999994</v>
      </c>
      <c r="AB13" s="10">
        <v>135.62619512000001</v>
      </c>
      <c r="AC13" s="10">
        <v>55.63</v>
      </c>
      <c r="AD13" s="10">
        <v>36.28968029</v>
      </c>
      <c r="AE13" s="10">
        <v>36.171920479999997</v>
      </c>
      <c r="AF13" s="10">
        <v>40.534353750000001</v>
      </c>
      <c r="AG13" s="10">
        <v>36.462809380000003</v>
      </c>
      <c r="AH13" s="10">
        <v>48.514088039999997</v>
      </c>
      <c r="AI13" s="10">
        <v>36.378465630000001</v>
      </c>
      <c r="AJ13" s="10">
        <v>41.947195619999995</v>
      </c>
      <c r="AK13" s="11">
        <v>43.943001539999997</v>
      </c>
      <c r="AL13" s="10">
        <v>37.364987479999996</v>
      </c>
      <c r="AM13" s="10">
        <v>58.262889109999996</v>
      </c>
      <c r="AN13" s="10">
        <v>216.09916874000001</v>
      </c>
      <c r="AO13" s="10">
        <v>86.593785159999996</v>
      </c>
      <c r="AP13" s="10">
        <v>66.346881729999993</v>
      </c>
      <c r="AQ13" s="10">
        <v>65.244305060000002</v>
      </c>
      <c r="AR13" s="10">
        <v>76.946815739999991</v>
      </c>
      <c r="AS13" s="10">
        <v>73.641086729999998</v>
      </c>
      <c r="AT13" s="10">
        <v>105.69607222</v>
      </c>
      <c r="AU13" s="10">
        <v>87.18958164</v>
      </c>
      <c r="AV13" s="10">
        <v>84.022184370000005</v>
      </c>
      <c r="AW13" s="11">
        <v>82.318048300000001</v>
      </c>
      <c r="AX13" s="10">
        <v>80.397358069999996</v>
      </c>
      <c r="AY13" s="10">
        <v>117.35784456</v>
      </c>
      <c r="AZ13" s="10">
        <v>391.35980809</v>
      </c>
      <c r="BA13" s="10">
        <v>204.41860593000001</v>
      </c>
      <c r="BB13" s="10">
        <v>147.89790712000001</v>
      </c>
      <c r="BC13" s="10">
        <v>146.65223326</v>
      </c>
      <c r="BD13" s="10">
        <v>156.75159121709999</v>
      </c>
      <c r="BE13" s="10">
        <v>172.96697384000001</v>
      </c>
      <c r="BF13" s="10">
        <v>193.45414516</v>
      </c>
      <c r="BG13" s="10">
        <v>168.75480161999999</v>
      </c>
      <c r="BH13" s="10">
        <v>154.21565672</v>
      </c>
      <c r="BI13" s="11">
        <v>127.63718523999999</v>
      </c>
      <c r="BJ13" s="10">
        <v>162.35079383000001</v>
      </c>
      <c r="BK13" s="10">
        <v>194.2268397</v>
      </c>
      <c r="BL13" s="10">
        <v>401.92819063000002</v>
      </c>
      <c r="BM13" s="10">
        <v>928.19352105999997</v>
      </c>
      <c r="BN13" s="10">
        <v>528.09504399000002</v>
      </c>
      <c r="BO13" s="10">
        <v>469.72285095999996</v>
      </c>
      <c r="BP13" s="10">
        <v>637.88224124999999</v>
      </c>
      <c r="BQ13" s="10">
        <v>580.47210878999999</v>
      </c>
      <c r="BR13" s="10">
        <v>620.44698576999997</v>
      </c>
      <c r="BS13" s="10">
        <v>591.96008260000008</v>
      </c>
      <c r="BT13" s="10">
        <v>677.19933830999992</v>
      </c>
      <c r="BU13" s="11">
        <v>594.31196745</v>
      </c>
      <c r="BV13" s="10">
        <v>641.63994872000001</v>
      </c>
      <c r="BW13" s="10">
        <v>520.66154490999998</v>
      </c>
      <c r="BX13" s="10">
        <v>683.35589811</v>
      </c>
      <c r="BY13" s="10">
        <v>1148.4012466700001</v>
      </c>
      <c r="BZ13" s="10">
        <v>627.24072209000008</v>
      </c>
      <c r="CA13" s="10">
        <v>561.39864287</v>
      </c>
      <c r="CB13" s="10">
        <v>602.57223282000007</v>
      </c>
      <c r="CC13" s="10">
        <v>594.34336480999991</v>
      </c>
      <c r="CD13" s="10">
        <v>655.68082416999994</v>
      </c>
      <c r="CE13" s="10">
        <v>551.08289115999992</v>
      </c>
      <c r="CF13" s="10">
        <v>515.56527787999994</v>
      </c>
      <c r="CG13" s="11">
        <v>495.45174552999998</v>
      </c>
      <c r="CH13" s="10">
        <v>465.70864435000004</v>
      </c>
      <c r="CI13" s="10">
        <v>561.50005839999994</v>
      </c>
      <c r="CJ13" s="10">
        <v>814.62135490999992</v>
      </c>
      <c r="CK13" s="10">
        <v>1641.4310656700002</v>
      </c>
      <c r="CL13" s="10">
        <v>997.96492692999993</v>
      </c>
      <c r="CM13" s="10">
        <v>826.47227680999993</v>
      </c>
      <c r="CN13" s="10">
        <v>852.04307414999994</v>
      </c>
      <c r="CO13" s="10">
        <v>875.54139767999993</v>
      </c>
    </row>
    <row r="14" spans="1:93" s="12" customFormat="1" x14ac:dyDescent="0.2">
      <c r="A14" s="9" t="s">
        <v>11</v>
      </c>
      <c r="B14" s="10">
        <v>82.291944000000001</v>
      </c>
      <c r="C14" s="10">
        <v>813.82697099999996</v>
      </c>
      <c r="D14" s="10">
        <v>179.919622</v>
      </c>
      <c r="E14" s="10">
        <v>308.84102000000001</v>
      </c>
      <c r="F14" s="10">
        <v>145.65209400000001</v>
      </c>
      <c r="G14" s="10">
        <v>333.22940499999999</v>
      </c>
      <c r="H14" s="10">
        <v>169.19850500000001</v>
      </c>
      <c r="I14" s="10">
        <v>326.51286299999998</v>
      </c>
      <c r="J14" s="10">
        <v>138.36202</v>
      </c>
      <c r="K14" s="10">
        <v>127.77979999999999</v>
      </c>
      <c r="L14" s="10">
        <v>116.605131</v>
      </c>
      <c r="M14" s="11">
        <v>193.592151</v>
      </c>
      <c r="N14" s="10">
        <v>125.229366</v>
      </c>
      <c r="O14" s="10">
        <v>1307.0683710000001</v>
      </c>
      <c r="P14" s="10">
        <v>231.20262700000001</v>
      </c>
      <c r="Q14" s="10">
        <v>326.21896800000002</v>
      </c>
      <c r="R14" s="10">
        <v>204.95553899999999</v>
      </c>
      <c r="S14" s="10">
        <v>460.04450600000001</v>
      </c>
      <c r="T14" s="10">
        <v>246.65692000000001</v>
      </c>
      <c r="U14" s="10">
        <v>448.55684000000002</v>
      </c>
      <c r="V14" s="10">
        <v>205.79193900000001</v>
      </c>
      <c r="W14" s="10">
        <v>187.33727300000001</v>
      </c>
      <c r="X14" s="10">
        <v>169.007251</v>
      </c>
      <c r="Y14" s="11">
        <v>318.17577799999998</v>
      </c>
      <c r="Z14" s="10">
        <v>187.67078699999999</v>
      </c>
      <c r="AA14" s="10">
        <v>1589.4303500000001</v>
      </c>
      <c r="AB14" s="10">
        <v>448.47759500000001</v>
      </c>
      <c r="AC14" s="10">
        <v>640.34</v>
      </c>
      <c r="AD14" s="10">
        <v>296.31243000000001</v>
      </c>
      <c r="AE14" s="10">
        <v>683.76150800000005</v>
      </c>
      <c r="AF14" s="10">
        <v>388.049466</v>
      </c>
      <c r="AG14" s="10">
        <v>682.56468199999995</v>
      </c>
      <c r="AH14" s="10">
        <v>353.29964999999999</v>
      </c>
      <c r="AI14" s="10">
        <v>284.06947500000001</v>
      </c>
      <c r="AJ14" s="10">
        <v>313.39683400000001</v>
      </c>
      <c r="AK14" s="11">
        <v>520.45117400000004</v>
      </c>
      <c r="AL14" s="10">
        <v>277.734375</v>
      </c>
      <c r="AM14" s="10">
        <v>2165.2838160000001</v>
      </c>
      <c r="AN14" s="10">
        <v>675.39806399999998</v>
      </c>
      <c r="AO14" s="10">
        <v>925.75584922000007</v>
      </c>
      <c r="AP14" s="10">
        <v>511.257271</v>
      </c>
      <c r="AQ14" s="10">
        <v>986.53104699999994</v>
      </c>
      <c r="AR14" s="10">
        <v>562.86636799999997</v>
      </c>
      <c r="AS14" s="10">
        <v>1051.893523</v>
      </c>
      <c r="AT14" s="10">
        <v>539.07962999999995</v>
      </c>
      <c r="AU14" s="10">
        <v>497.25818700000002</v>
      </c>
      <c r="AV14" s="10">
        <v>532.42481399999997</v>
      </c>
      <c r="AW14" s="11">
        <v>826.64219600000001</v>
      </c>
      <c r="AX14" s="10">
        <v>505.99759</v>
      </c>
      <c r="AY14" s="10">
        <v>1452.3752010000001</v>
      </c>
      <c r="AZ14" s="10">
        <v>3832.4409930000002</v>
      </c>
      <c r="BA14" s="10">
        <v>849.32842300000004</v>
      </c>
      <c r="BB14" s="10">
        <v>1692.4663860000001</v>
      </c>
      <c r="BC14" s="10">
        <v>922.87372800000003</v>
      </c>
      <c r="BD14" s="10">
        <v>1927.3636650000001</v>
      </c>
      <c r="BE14" s="10">
        <v>1142.696383</v>
      </c>
      <c r="BF14" s="10">
        <v>2011.2364930000001</v>
      </c>
      <c r="BG14" s="10">
        <v>1217.948134</v>
      </c>
      <c r="BH14" s="10">
        <v>2281.4133809999998</v>
      </c>
      <c r="BI14" s="11">
        <v>2271.7481899999998</v>
      </c>
      <c r="BJ14" s="10">
        <v>2005.4048110000001</v>
      </c>
      <c r="BK14" s="10">
        <v>4287.9208049999997</v>
      </c>
      <c r="BL14" s="10">
        <v>12489.431565999999</v>
      </c>
      <c r="BM14" s="10">
        <v>3397.8026920000002</v>
      </c>
      <c r="BN14" s="10">
        <v>7012.9606229999999</v>
      </c>
      <c r="BO14" s="10">
        <v>3503.2438699999998</v>
      </c>
      <c r="BP14" s="10">
        <v>7995.031986</v>
      </c>
      <c r="BQ14" s="10">
        <v>4212.0667800000001</v>
      </c>
      <c r="BR14" s="10">
        <v>7790.5433300000004</v>
      </c>
      <c r="BS14" s="10">
        <v>4190.9574460000003</v>
      </c>
      <c r="BT14" s="10">
        <v>8021.4036130000004</v>
      </c>
      <c r="BU14" s="11">
        <v>7856.3465420000002</v>
      </c>
      <c r="BV14" s="10">
        <v>3540.3950420000001</v>
      </c>
      <c r="BW14" s="10">
        <v>8275.5280710000006</v>
      </c>
      <c r="BX14" s="10">
        <v>21771.482841000001</v>
      </c>
      <c r="BY14" s="10">
        <v>5167.0766640000002</v>
      </c>
      <c r="BZ14" s="10">
        <v>8187.9641529999999</v>
      </c>
      <c r="CA14" s="10">
        <v>4204.0126309999996</v>
      </c>
      <c r="CB14" s="10">
        <v>8428.8434990000005</v>
      </c>
      <c r="CC14" s="10">
        <v>5037.4121493000002</v>
      </c>
      <c r="CD14" s="10">
        <v>9243.1364718999994</v>
      </c>
      <c r="CE14" s="10">
        <v>5775.6180654</v>
      </c>
      <c r="CF14" s="10">
        <v>8676.9717247999997</v>
      </c>
      <c r="CG14" s="11">
        <v>8759.0523790000007</v>
      </c>
      <c r="CH14" s="10">
        <v>3641.0630381000001</v>
      </c>
      <c r="CI14" s="10">
        <v>9223.3247193999996</v>
      </c>
      <c r="CJ14" s="10">
        <v>27438.118094000001</v>
      </c>
      <c r="CK14" s="10">
        <v>7015.9967763000004</v>
      </c>
      <c r="CL14" s="10">
        <v>10659.953303</v>
      </c>
      <c r="CM14" s="10">
        <v>6768.5576339999998</v>
      </c>
      <c r="CN14" s="10">
        <v>11999.366782999999</v>
      </c>
      <c r="CO14" s="10">
        <v>6917.1726325</v>
      </c>
    </row>
    <row r="15" spans="1:93" s="12" customFormat="1" x14ac:dyDescent="0.2">
      <c r="A15" s="9" t="s">
        <v>12</v>
      </c>
      <c r="B15" s="10">
        <v>15.277623</v>
      </c>
      <c r="C15" s="10">
        <v>29.321193000000001</v>
      </c>
      <c r="D15" s="10">
        <v>22.023216000000001</v>
      </c>
      <c r="E15" s="10">
        <v>15.557897000000001</v>
      </c>
      <c r="F15" s="10">
        <v>13.305911999999999</v>
      </c>
      <c r="G15" s="10">
        <v>12.794515000000001</v>
      </c>
      <c r="H15" s="10">
        <v>15.945767999999999</v>
      </c>
      <c r="I15" s="10">
        <v>12.169769000000001</v>
      </c>
      <c r="J15" s="10">
        <v>9.3540569999999992</v>
      </c>
      <c r="K15" s="10">
        <v>7.6373759999999997</v>
      </c>
      <c r="L15" s="10">
        <v>7.3028310000000003</v>
      </c>
      <c r="M15" s="11">
        <v>6.3593060000000001</v>
      </c>
      <c r="N15" s="10">
        <v>28.51190136</v>
      </c>
      <c r="O15" s="10">
        <v>52.800609119999997</v>
      </c>
      <c r="P15" s="10">
        <v>19.45251816</v>
      </c>
      <c r="Q15" s="10">
        <v>9.7803985200000003</v>
      </c>
      <c r="R15" s="10">
        <v>12.178632970000001</v>
      </c>
      <c r="S15" s="10">
        <v>21.84382081</v>
      </c>
      <c r="T15" s="10">
        <v>22.175917699999999</v>
      </c>
      <c r="U15" s="10">
        <v>18.622435550000002</v>
      </c>
      <c r="V15" s="10">
        <v>14.650443320000001</v>
      </c>
      <c r="W15" s="10">
        <v>12.243883550000001</v>
      </c>
      <c r="X15" s="10">
        <v>9.2850881300000001</v>
      </c>
      <c r="Y15" s="11">
        <v>12.0487751</v>
      </c>
      <c r="Z15" s="10">
        <v>9.6391384799999997</v>
      </c>
      <c r="AA15" s="10">
        <v>66.591856719999996</v>
      </c>
      <c r="AB15" s="10">
        <v>63.078949869999995</v>
      </c>
      <c r="AC15" s="10">
        <v>42.27</v>
      </c>
      <c r="AD15" s="10">
        <v>37.853967359999999</v>
      </c>
      <c r="AE15" s="10">
        <v>36.602146929999996</v>
      </c>
      <c r="AF15" s="10">
        <v>37.61546061</v>
      </c>
      <c r="AG15" s="10">
        <v>35.08134364</v>
      </c>
      <c r="AH15" s="10">
        <v>25.797879500000001</v>
      </c>
      <c r="AI15" s="10">
        <v>22.087874120000002</v>
      </c>
      <c r="AJ15" s="10">
        <v>17.153717199999999</v>
      </c>
      <c r="AK15" s="11">
        <v>18.021706930000001</v>
      </c>
      <c r="AL15" s="10">
        <v>18.960340420000001</v>
      </c>
      <c r="AM15" s="10">
        <v>106.77261722</v>
      </c>
      <c r="AN15" s="10">
        <v>115.92618363</v>
      </c>
      <c r="AO15" s="10">
        <v>88.244094510000011</v>
      </c>
      <c r="AP15" s="10">
        <v>77.810666999999995</v>
      </c>
      <c r="AQ15" s="10">
        <v>73.024706260000002</v>
      </c>
      <c r="AR15" s="10">
        <v>74.382039779999999</v>
      </c>
      <c r="AS15" s="10">
        <v>68.616423799999993</v>
      </c>
      <c r="AT15" s="10">
        <v>44.066961620000001</v>
      </c>
      <c r="AU15" s="10">
        <v>36.980901950000003</v>
      </c>
      <c r="AV15" s="10">
        <v>31.87447813</v>
      </c>
      <c r="AW15" s="11">
        <v>32.214285760000003</v>
      </c>
      <c r="AX15" s="10">
        <v>43.4</v>
      </c>
      <c r="AY15" s="10">
        <v>188.8</v>
      </c>
      <c r="AZ15" s="10">
        <v>212.1</v>
      </c>
      <c r="BA15" s="10">
        <v>152.9</v>
      </c>
      <c r="BB15" s="10">
        <v>95.4</v>
      </c>
      <c r="BC15" s="10">
        <v>97.9</v>
      </c>
      <c r="BD15" s="10">
        <v>107.3</v>
      </c>
      <c r="BE15" s="10">
        <v>104.9</v>
      </c>
      <c r="BF15" s="10">
        <v>74.099999999999994</v>
      </c>
      <c r="BG15" s="10">
        <v>65.900000000000006</v>
      </c>
      <c r="BH15" s="10">
        <v>56.9</v>
      </c>
      <c r="BI15" s="11">
        <v>70.099999999999994</v>
      </c>
      <c r="BJ15" s="10">
        <v>88.034406869999998</v>
      </c>
      <c r="BK15" s="10">
        <v>381.54026109</v>
      </c>
      <c r="BL15" s="10">
        <v>693.63440650999996</v>
      </c>
      <c r="BM15" s="10">
        <v>374.00070452</v>
      </c>
      <c r="BN15" s="10">
        <v>485.94342722000005</v>
      </c>
      <c r="BO15" s="10">
        <v>423.74241182999998</v>
      </c>
      <c r="BP15" s="10">
        <v>379.9163671</v>
      </c>
      <c r="BQ15" s="10">
        <v>391.50898910000001</v>
      </c>
      <c r="BR15" s="10">
        <v>229.69378788999998</v>
      </c>
      <c r="BS15" s="10">
        <v>176.14729499000001</v>
      </c>
      <c r="BT15" s="10">
        <v>248.83140077000002</v>
      </c>
      <c r="BU15" s="11">
        <v>186.00404274000002</v>
      </c>
      <c r="BV15" s="10">
        <v>198.34507411000001</v>
      </c>
      <c r="BW15" s="10">
        <v>458.66312048999998</v>
      </c>
      <c r="BX15" s="10">
        <v>1571.5312440299999</v>
      </c>
      <c r="BY15" s="10">
        <v>538.58997711000006</v>
      </c>
      <c r="BZ15" s="10">
        <v>809.02894719000005</v>
      </c>
      <c r="CA15" s="10">
        <v>598.81220811000003</v>
      </c>
      <c r="CB15" s="10">
        <v>530.53430188999994</v>
      </c>
      <c r="CC15" s="10">
        <v>548.60470979999991</v>
      </c>
      <c r="CD15" s="10">
        <v>477.07287751000001</v>
      </c>
      <c r="CE15" s="10">
        <v>446.74065217000003</v>
      </c>
      <c r="CF15" s="10">
        <v>279.73964538999996</v>
      </c>
      <c r="CG15" s="11">
        <v>277.59834857999999</v>
      </c>
      <c r="CH15" s="10">
        <v>303.47186245999995</v>
      </c>
      <c r="CI15" s="10">
        <v>834.50002470000004</v>
      </c>
      <c r="CJ15" s="10">
        <v>1798.2174867599999</v>
      </c>
      <c r="CK15" s="10">
        <v>893.73962815999994</v>
      </c>
      <c r="CL15" s="10">
        <v>651.02606307000008</v>
      </c>
      <c r="CM15" s="10">
        <v>556.04835772000001</v>
      </c>
      <c r="CN15" s="10">
        <v>591.98693896000009</v>
      </c>
      <c r="CO15" s="10">
        <v>577.92942160000007</v>
      </c>
    </row>
    <row r="16" spans="1:93" s="12" customFormat="1" x14ac:dyDescent="0.2">
      <c r="A16" s="9" t="s">
        <v>35</v>
      </c>
      <c r="B16" s="10" t="s">
        <v>3</v>
      </c>
      <c r="C16" s="10" t="s">
        <v>3</v>
      </c>
      <c r="D16" s="10" t="s">
        <v>3</v>
      </c>
      <c r="E16" s="10" t="s">
        <v>3</v>
      </c>
      <c r="F16" s="10" t="s">
        <v>3</v>
      </c>
      <c r="G16" s="10" t="s">
        <v>3</v>
      </c>
      <c r="H16" s="10" t="s">
        <v>3</v>
      </c>
      <c r="I16" s="10" t="s">
        <v>3</v>
      </c>
      <c r="J16" s="10" t="s">
        <v>3</v>
      </c>
      <c r="K16" s="10" t="s">
        <v>3</v>
      </c>
      <c r="L16" s="10" t="s">
        <v>3</v>
      </c>
      <c r="M16" s="11" t="s">
        <v>3</v>
      </c>
      <c r="N16" s="10" t="s">
        <v>3</v>
      </c>
      <c r="O16" s="10" t="s">
        <v>3</v>
      </c>
      <c r="P16" s="10" t="s">
        <v>3</v>
      </c>
      <c r="Q16" s="10" t="s">
        <v>3</v>
      </c>
      <c r="R16" s="10" t="s">
        <v>3</v>
      </c>
      <c r="S16" s="10" t="s">
        <v>3</v>
      </c>
      <c r="T16" s="10" t="s">
        <v>3</v>
      </c>
      <c r="U16" s="10" t="s">
        <v>3</v>
      </c>
      <c r="V16" s="10" t="s">
        <v>3</v>
      </c>
      <c r="W16" s="10" t="s">
        <v>3</v>
      </c>
      <c r="X16" s="10" t="s">
        <v>3</v>
      </c>
      <c r="Y16" s="11" t="s">
        <v>3</v>
      </c>
      <c r="Z16" s="10" t="s">
        <v>3</v>
      </c>
      <c r="AA16" s="10" t="s">
        <v>3</v>
      </c>
      <c r="AB16" s="10" t="s">
        <v>3</v>
      </c>
      <c r="AC16" s="10" t="s">
        <v>3</v>
      </c>
      <c r="AD16" s="10" t="s">
        <v>3</v>
      </c>
      <c r="AE16" s="10" t="s">
        <v>3</v>
      </c>
      <c r="AF16" s="10" t="s">
        <v>3</v>
      </c>
      <c r="AG16" s="10" t="s">
        <v>3</v>
      </c>
      <c r="AH16" s="10" t="s">
        <v>3</v>
      </c>
      <c r="AI16" s="10" t="s">
        <v>3</v>
      </c>
      <c r="AJ16" s="10" t="s">
        <v>3</v>
      </c>
      <c r="AK16" s="11" t="s">
        <v>3</v>
      </c>
      <c r="AL16" s="10" t="s">
        <v>3</v>
      </c>
      <c r="AM16" s="10" t="s">
        <v>3</v>
      </c>
      <c r="AN16" s="10" t="s">
        <v>3</v>
      </c>
      <c r="AO16" s="10" t="s">
        <v>3</v>
      </c>
      <c r="AP16" s="10" t="s">
        <v>3</v>
      </c>
      <c r="AQ16" s="10" t="s">
        <v>3</v>
      </c>
      <c r="AR16" s="10" t="s">
        <v>3</v>
      </c>
      <c r="AS16" s="10" t="s">
        <v>3</v>
      </c>
      <c r="AT16" s="10" t="s">
        <v>3</v>
      </c>
      <c r="AU16" s="10" t="s">
        <v>3</v>
      </c>
      <c r="AV16" s="10" t="s">
        <v>3</v>
      </c>
      <c r="AW16" s="11" t="s">
        <v>3</v>
      </c>
      <c r="AX16" s="10" t="s">
        <v>3</v>
      </c>
      <c r="AY16" s="10" t="s">
        <v>3</v>
      </c>
      <c r="AZ16" s="10" t="s">
        <v>3</v>
      </c>
      <c r="BA16" s="10" t="s">
        <v>3</v>
      </c>
      <c r="BB16" s="10" t="s">
        <v>3</v>
      </c>
      <c r="BC16" s="10" t="s">
        <v>3</v>
      </c>
      <c r="BD16" s="10" t="s">
        <v>3</v>
      </c>
      <c r="BE16" s="10" t="s">
        <v>3</v>
      </c>
      <c r="BF16" s="10" t="s">
        <v>3</v>
      </c>
      <c r="BG16" s="10" t="s">
        <v>3</v>
      </c>
      <c r="BH16" s="10" t="s">
        <v>3</v>
      </c>
      <c r="BI16" s="11" t="s">
        <v>3</v>
      </c>
      <c r="BJ16" s="10" t="s">
        <v>3</v>
      </c>
      <c r="BK16" s="10" t="s">
        <v>3</v>
      </c>
      <c r="BL16" s="10" t="s">
        <v>3</v>
      </c>
      <c r="BM16" s="10" t="s">
        <v>3</v>
      </c>
      <c r="BN16" s="10" t="s">
        <v>3</v>
      </c>
      <c r="BO16" s="10" t="s">
        <v>3</v>
      </c>
      <c r="BP16" s="10" t="s">
        <v>3</v>
      </c>
      <c r="BQ16" s="10" t="s">
        <v>3</v>
      </c>
      <c r="BR16" s="10" t="s">
        <v>3</v>
      </c>
      <c r="BS16" s="10" t="s">
        <v>3</v>
      </c>
      <c r="BT16" s="10" t="s">
        <v>3</v>
      </c>
      <c r="BU16" s="11" t="s">
        <v>3</v>
      </c>
      <c r="BV16" s="10" t="s">
        <v>3</v>
      </c>
      <c r="BW16" s="10" t="s">
        <v>3</v>
      </c>
      <c r="BX16" s="10" t="s">
        <v>3</v>
      </c>
      <c r="BY16" s="10" t="s">
        <v>3</v>
      </c>
      <c r="BZ16" s="10" t="s">
        <v>3</v>
      </c>
      <c r="CA16" s="10" t="s">
        <v>3</v>
      </c>
      <c r="CB16" s="10" t="s">
        <v>3</v>
      </c>
      <c r="CC16" s="10" t="s">
        <v>3</v>
      </c>
      <c r="CD16" s="10" t="s">
        <v>3</v>
      </c>
      <c r="CE16" s="10" t="s">
        <v>3</v>
      </c>
      <c r="CF16" s="10" t="s">
        <v>3</v>
      </c>
      <c r="CG16" s="11" t="s">
        <v>3</v>
      </c>
      <c r="CH16" s="10" t="s">
        <v>3</v>
      </c>
      <c r="CI16" s="10" t="s">
        <v>3</v>
      </c>
      <c r="CJ16" s="10" t="s">
        <v>3</v>
      </c>
      <c r="CK16" s="10" t="s">
        <v>3</v>
      </c>
      <c r="CL16" s="10" t="s">
        <v>3</v>
      </c>
      <c r="CM16" s="10" t="s">
        <v>3</v>
      </c>
      <c r="CN16" s="10" t="s">
        <v>3</v>
      </c>
      <c r="CO16" s="10"/>
    </row>
    <row r="17" spans="1:93" s="12" customFormat="1" x14ac:dyDescent="0.2">
      <c r="A17" s="9" t="s">
        <v>14</v>
      </c>
      <c r="B17" s="10">
        <v>151.09081087999999</v>
      </c>
      <c r="C17" s="10">
        <v>408.82525183999996</v>
      </c>
      <c r="D17" s="10">
        <v>117.03825211</v>
      </c>
      <c r="E17" s="10">
        <v>123.50322015</v>
      </c>
      <c r="F17" s="10">
        <v>69.52407436</v>
      </c>
      <c r="G17" s="10">
        <v>122.28755818</v>
      </c>
      <c r="H17" s="10">
        <v>90.524736060000009</v>
      </c>
      <c r="I17" s="10">
        <v>140.84020163999998</v>
      </c>
      <c r="J17" s="10">
        <v>86.31174870000001</v>
      </c>
      <c r="K17" s="10">
        <v>138.04620201</v>
      </c>
      <c r="L17" s="10">
        <v>74.815341000000004</v>
      </c>
      <c r="M17" s="11">
        <v>148.07477962999999</v>
      </c>
      <c r="N17" s="10">
        <v>296.45456632999998</v>
      </c>
      <c r="O17" s="10">
        <v>505.09240927999997</v>
      </c>
      <c r="P17" s="10">
        <v>209.22629140000001</v>
      </c>
      <c r="Q17" s="10">
        <v>85.642349780000004</v>
      </c>
      <c r="R17" s="10">
        <v>73.597871499999997</v>
      </c>
      <c r="S17" s="10">
        <v>156.04122290999999</v>
      </c>
      <c r="T17" s="10">
        <v>119.32733692000001</v>
      </c>
      <c r="U17" s="10">
        <v>186.05986312000002</v>
      </c>
      <c r="V17" s="10">
        <v>123.17062092</v>
      </c>
      <c r="W17" s="10">
        <v>186.01184244000001</v>
      </c>
      <c r="X17" s="10">
        <v>139.89949288</v>
      </c>
      <c r="Y17" s="11">
        <v>214.05522868</v>
      </c>
      <c r="Z17" s="10">
        <v>271.34763943000002</v>
      </c>
      <c r="AA17" s="10">
        <v>758.03150208</v>
      </c>
      <c r="AB17" s="10">
        <v>382.22199566</v>
      </c>
      <c r="AC17" s="10">
        <v>331.49</v>
      </c>
      <c r="AD17" s="10">
        <v>156.27419402000001</v>
      </c>
      <c r="AE17" s="10">
        <v>236.0270835</v>
      </c>
      <c r="AF17" s="10">
        <v>174.98204826</v>
      </c>
      <c r="AG17" s="10">
        <v>267.76779769999996</v>
      </c>
      <c r="AH17" s="10">
        <v>169.43198724999999</v>
      </c>
      <c r="AI17" s="10">
        <v>256.0754432</v>
      </c>
      <c r="AJ17" s="10">
        <v>173.94387022999999</v>
      </c>
      <c r="AK17" s="11">
        <v>330.56435661</v>
      </c>
      <c r="AL17" s="10">
        <v>525.01902731999996</v>
      </c>
      <c r="AM17" s="10">
        <v>764.32910574000005</v>
      </c>
      <c r="AN17" s="10">
        <v>839.57319213999995</v>
      </c>
      <c r="AO17" s="10">
        <v>604.29724454999996</v>
      </c>
      <c r="AP17" s="10">
        <v>252.57214872</v>
      </c>
      <c r="AQ17" s="10">
        <v>359.14295550000003</v>
      </c>
      <c r="AR17" s="10">
        <v>273.85690008999995</v>
      </c>
      <c r="AS17" s="10">
        <v>399.05833792999999</v>
      </c>
      <c r="AT17" s="10">
        <v>284.51894606000002</v>
      </c>
      <c r="AU17" s="10">
        <v>391.23101313999996</v>
      </c>
      <c r="AV17" s="10">
        <v>278.87667576999996</v>
      </c>
      <c r="AW17" s="11">
        <v>496.16430505</v>
      </c>
      <c r="AX17" s="10">
        <v>803.10091964000003</v>
      </c>
      <c r="AY17" s="10">
        <v>1299.9460007299999</v>
      </c>
      <c r="AZ17" s="10">
        <v>1543.5404206199998</v>
      </c>
      <c r="BA17" s="10">
        <v>985.10590671</v>
      </c>
      <c r="BB17" s="10">
        <v>504.71343120999995</v>
      </c>
      <c r="BC17" s="10">
        <v>652.07373637000001</v>
      </c>
      <c r="BD17" s="10">
        <v>483.94460642000001</v>
      </c>
      <c r="BE17" s="10">
        <v>734.75916695000001</v>
      </c>
      <c r="BF17" s="10">
        <v>496.48672164999999</v>
      </c>
      <c r="BG17" s="10">
        <v>711.49140247000003</v>
      </c>
      <c r="BH17" s="10">
        <v>495.19346379000001</v>
      </c>
      <c r="BI17" s="11">
        <v>754.48514724999995</v>
      </c>
      <c r="BJ17" s="10">
        <v>2731.0973157800004</v>
      </c>
      <c r="BK17" s="10">
        <v>4719.5671441499999</v>
      </c>
      <c r="BL17" s="10">
        <v>1618.97668798</v>
      </c>
      <c r="BM17" s="10">
        <v>1243.5106174500002</v>
      </c>
      <c r="BN17" s="10">
        <v>1564.91894374</v>
      </c>
      <c r="BO17" s="10">
        <v>1516.9752044500001</v>
      </c>
      <c r="BP17" s="10">
        <v>2299.0427847199999</v>
      </c>
      <c r="BQ17" s="10">
        <v>2387.8004056100003</v>
      </c>
      <c r="BR17" s="10">
        <v>2878.9004771899999</v>
      </c>
      <c r="BS17" s="10">
        <v>3121.6468805500003</v>
      </c>
      <c r="BT17" s="10">
        <v>3110.78578242</v>
      </c>
      <c r="BU17" s="11">
        <v>3337.3546857600004</v>
      </c>
      <c r="BV17" s="10">
        <v>8020.9924691199994</v>
      </c>
      <c r="BW17" s="10">
        <v>13785.684907770001</v>
      </c>
      <c r="BX17" s="10">
        <v>7195.0333988000002</v>
      </c>
      <c r="BY17" s="10">
        <v>3855.79575097</v>
      </c>
      <c r="BZ17" s="10">
        <v>3670.9896882100002</v>
      </c>
      <c r="CA17" s="10">
        <v>3356.8706644600002</v>
      </c>
      <c r="CB17" s="10">
        <v>4006.7365633000004</v>
      </c>
      <c r="CC17" s="10">
        <v>3703.3913629399999</v>
      </c>
      <c r="CD17" s="10">
        <v>3923.48014887</v>
      </c>
      <c r="CE17" s="10">
        <v>3874.3381922399999</v>
      </c>
      <c r="CF17" s="10">
        <v>3700.2858718400003</v>
      </c>
      <c r="CG17" s="11">
        <v>4397.7817838599995</v>
      </c>
      <c r="CH17" s="10">
        <v>9743.4199265200004</v>
      </c>
      <c r="CI17" s="10">
        <v>16454.09381319</v>
      </c>
      <c r="CJ17" s="10">
        <v>10684.509840280001</v>
      </c>
      <c r="CK17" s="10">
        <v>5819.8706356700004</v>
      </c>
      <c r="CL17" s="10">
        <v>4873.1014599499995</v>
      </c>
      <c r="CM17" s="10">
        <v>5416.7867256899999</v>
      </c>
      <c r="CN17" s="10">
        <v>6153.3430570099999</v>
      </c>
      <c r="CO17" s="10">
        <v>5826.3828884899995</v>
      </c>
    </row>
    <row r="18" spans="1:93" s="12" customFormat="1" x14ac:dyDescent="0.2">
      <c r="A18" s="9" t="s">
        <v>30</v>
      </c>
      <c r="B18" s="10" t="s">
        <v>3</v>
      </c>
      <c r="C18" s="10" t="s">
        <v>3</v>
      </c>
      <c r="D18" s="10" t="s">
        <v>3</v>
      </c>
      <c r="E18" s="10" t="s">
        <v>3</v>
      </c>
      <c r="F18" s="10" t="s">
        <v>3</v>
      </c>
      <c r="G18" s="10" t="s">
        <v>3</v>
      </c>
      <c r="H18" s="10" t="s">
        <v>3</v>
      </c>
      <c r="I18" s="10" t="s">
        <v>3</v>
      </c>
      <c r="J18" s="10" t="s">
        <v>3</v>
      </c>
      <c r="K18" s="10" t="s">
        <v>3</v>
      </c>
      <c r="L18" s="10" t="s">
        <v>3</v>
      </c>
      <c r="M18" s="11" t="s">
        <v>3</v>
      </c>
      <c r="N18" s="10" t="s">
        <v>3</v>
      </c>
      <c r="O18" s="10" t="s">
        <v>3</v>
      </c>
      <c r="P18" s="10" t="s">
        <v>3</v>
      </c>
      <c r="Q18" s="10" t="s">
        <v>3</v>
      </c>
      <c r="R18" s="10" t="s">
        <v>3</v>
      </c>
      <c r="S18" s="10" t="s">
        <v>3</v>
      </c>
      <c r="T18" s="10" t="s">
        <v>3</v>
      </c>
      <c r="U18" s="10" t="s">
        <v>3</v>
      </c>
      <c r="V18" s="10" t="s">
        <v>3</v>
      </c>
      <c r="W18" s="10" t="s">
        <v>3</v>
      </c>
      <c r="X18" s="10" t="s">
        <v>3</v>
      </c>
      <c r="Y18" s="11" t="s">
        <v>3</v>
      </c>
      <c r="Z18" s="10" t="s">
        <v>3</v>
      </c>
      <c r="AA18" s="10" t="s">
        <v>3</v>
      </c>
      <c r="AB18" s="10" t="s">
        <v>3</v>
      </c>
      <c r="AC18" s="10" t="s">
        <v>3</v>
      </c>
      <c r="AD18" s="10" t="s">
        <v>3</v>
      </c>
      <c r="AE18" s="10" t="s">
        <v>3</v>
      </c>
      <c r="AF18" s="10" t="s">
        <v>3</v>
      </c>
      <c r="AG18" s="10" t="s">
        <v>3</v>
      </c>
      <c r="AH18" s="10" t="s">
        <v>3</v>
      </c>
      <c r="AI18" s="10" t="s">
        <v>3</v>
      </c>
      <c r="AJ18" s="10" t="s">
        <v>3</v>
      </c>
      <c r="AK18" s="11" t="s">
        <v>3</v>
      </c>
      <c r="AL18" s="10" t="s">
        <v>3</v>
      </c>
      <c r="AM18" s="10" t="s">
        <v>3</v>
      </c>
      <c r="AN18" s="10" t="s">
        <v>3</v>
      </c>
      <c r="AO18" s="10" t="s">
        <v>3</v>
      </c>
      <c r="AP18" s="10" t="s">
        <v>3</v>
      </c>
      <c r="AQ18" s="10" t="s">
        <v>3</v>
      </c>
      <c r="AR18" s="10" t="s">
        <v>3</v>
      </c>
      <c r="AS18" s="10" t="s">
        <v>3</v>
      </c>
      <c r="AT18" s="10" t="s">
        <v>3</v>
      </c>
      <c r="AU18" s="10" t="s">
        <v>3</v>
      </c>
      <c r="AV18" s="10" t="s">
        <v>3</v>
      </c>
      <c r="AW18" s="11" t="s">
        <v>3</v>
      </c>
      <c r="AX18" s="10" t="s">
        <v>3</v>
      </c>
      <c r="AY18" s="10" t="s">
        <v>3</v>
      </c>
      <c r="AZ18" s="10" t="s">
        <v>3</v>
      </c>
      <c r="BA18" s="10" t="s">
        <v>3</v>
      </c>
      <c r="BB18" s="10" t="s">
        <v>3</v>
      </c>
      <c r="BC18" s="10" t="s">
        <v>3</v>
      </c>
      <c r="BD18" s="10" t="s">
        <v>3</v>
      </c>
      <c r="BE18" s="10" t="s">
        <v>3</v>
      </c>
      <c r="BF18" s="10" t="s">
        <v>3</v>
      </c>
      <c r="BG18" s="10" t="s">
        <v>3</v>
      </c>
      <c r="BH18" s="10" t="s">
        <v>3</v>
      </c>
      <c r="BI18" s="11" t="s">
        <v>3</v>
      </c>
      <c r="BJ18" s="10" t="s">
        <v>3</v>
      </c>
      <c r="BK18" s="10" t="s">
        <v>3</v>
      </c>
      <c r="BL18" s="10" t="s">
        <v>3</v>
      </c>
      <c r="BM18" s="10" t="s">
        <v>3</v>
      </c>
      <c r="BN18" s="10" t="s">
        <v>3</v>
      </c>
      <c r="BO18" s="10" t="s">
        <v>3</v>
      </c>
      <c r="BP18" s="10" t="s">
        <v>3</v>
      </c>
      <c r="BQ18" s="10" t="s">
        <v>3</v>
      </c>
      <c r="BR18" s="10" t="s">
        <v>3</v>
      </c>
      <c r="BS18" s="10" t="s">
        <v>3</v>
      </c>
      <c r="BT18" s="10" t="s">
        <v>3</v>
      </c>
      <c r="BU18" s="11" t="s">
        <v>3</v>
      </c>
      <c r="BV18" s="10" t="s">
        <v>3</v>
      </c>
      <c r="BW18" s="10" t="s">
        <v>3</v>
      </c>
      <c r="BX18" s="10" t="s">
        <v>3</v>
      </c>
      <c r="BY18" s="10" t="s">
        <v>3</v>
      </c>
      <c r="BZ18" s="10" t="s">
        <v>3</v>
      </c>
      <c r="CA18" s="10" t="s">
        <v>3</v>
      </c>
      <c r="CB18" s="10" t="s">
        <v>3</v>
      </c>
      <c r="CC18" s="10" t="s">
        <v>3</v>
      </c>
      <c r="CD18" s="10" t="s">
        <v>3</v>
      </c>
      <c r="CE18" s="10" t="s">
        <v>3</v>
      </c>
      <c r="CF18" s="10" t="s">
        <v>3</v>
      </c>
      <c r="CG18" s="11" t="s">
        <v>3</v>
      </c>
      <c r="CH18" s="10" t="s">
        <v>3</v>
      </c>
      <c r="CI18" s="10" t="s">
        <v>3</v>
      </c>
      <c r="CJ18" s="10" t="s">
        <v>3</v>
      </c>
      <c r="CK18" s="10" t="s">
        <v>3</v>
      </c>
      <c r="CL18" s="10" t="s">
        <v>3</v>
      </c>
      <c r="CM18" s="10" t="s">
        <v>3</v>
      </c>
      <c r="CN18" s="10"/>
      <c r="CO18" s="10"/>
    </row>
    <row r="19" spans="1:93" s="12" customFormat="1" x14ac:dyDescent="0.2">
      <c r="A19" s="9" t="s">
        <v>16</v>
      </c>
      <c r="B19" s="10">
        <v>27.802813530000002</v>
      </c>
      <c r="C19" s="10">
        <v>21.285175980000002</v>
      </c>
      <c r="D19" s="10">
        <v>111.37534225</v>
      </c>
      <c r="E19" s="10">
        <v>149.10784290000001</v>
      </c>
      <c r="F19" s="10">
        <v>48.78002232</v>
      </c>
      <c r="G19" s="10">
        <v>62.855399009999999</v>
      </c>
      <c r="H19" s="10">
        <v>64.75308815999999</v>
      </c>
      <c r="I19" s="10">
        <v>74.045622890000004</v>
      </c>
      <c r="J19" s="10">
        <v>58.52666601</v>
      </c>
      <c r="K19" s="10">
        <v>60.627103689999998</v>
      </c>
      <c r="L19" s="10">
        <v>59.129348640000003</v>
      </c>
      <c r="M19" s="11">
        <v>63.798949659999998</v>
      </c>
      <c r="N19" s="10">
        <v>49.85548</v>
      </c>
      <c r="O19" s="10">
        <v>46.258065999999999</v>
      </c>
      <c r="P19" s="10">
        <v>86.745509999999996</v>
      </c>
      <c r="Q19" s="10">
        <v>74.189762999999999</v>
      </c>
      <c r="R19" s="10">
        <v>178.196639</v>
      </c>
      <c r="S19" s="10">
        <v>98.690225999999996</v>
      </c>
      <c r="T19" s="10">
        <v>101.249802</v>
      </c>
      <c r="U19" s="10">
        <v>91.091853</v>
      </c>
      <c r="V19" s="10">
        <v>78.706755999999999</v>
      </c>
      <c r="W19" s="10">
        <v>87.065928999999997</v>
      </c>
      <c r="X19" s="10">
        <v>80.998394000000005</v>
      </c>
      <c r="Y19" s="11">
        <v>84.212762999999995</v>
      </c>
      <c r="Z19" s="10">
        <v>53.758851999999997</v>
      </c>
      <c r="AA19" s="10">
        <v>73.660448000000002</v>
      </c>
      <c r="AB19" s="10">
        <v>389.92058800000001</v>
      </c>
      <c r="AC19" s="10">
        <v>132.54</v>
      </c>
      <c r="AD19" s="10">
        <v>111.427886</v>
      </c>
      <c r="AE19" s="10">
        <v>135.22648599999999</v>
      </c>
      <c r="AF19" s="10">
        <v>153.33396999999999</v>
      </c>
      <c r="AG19" s="10">
        <v>174.70403099999999</v>
      </c>
      <c r="AH19" s="10">
        <v>142.77320499999999</v>
      </c>
      <c r="AI19" s="10">
        <v>139.239679</v>
      </c>
      <c r="AJ19" s="10">
        <v>146.58073999999999</v>
      </c>
      <c r="AK19" s="11">
        <v>155.11900900000001</v>
      </c>
      <c r="AL19" s="10">
        <v>103.85880299999999</v>
      </c>
      <c r="AM19" s="10">
        <v>91.120911000000007</v>
      </c>
      <c r="AN19" s="10">
        <v>756.26200700000004</v>
      </c>
      <c r="AO19" s="10">
        <v>303.713908</v>
      </c>
      <c r="AP19" s="10">
        <v>249.11004299999999</v>
      </c>
      <c r="AQ19" s="10">
        <v>251.78475900000001</v>
      </c>
      <c r="AR19" s="10">
        <v>291.80431099999998</v>
      </c>
      <c r="AS19" s="10">
        <v>333.30810300000002</v>
      </c>
      <c r="AT19" s="10">
        <v>280.60688699999997</v>
      </c>
      <c r="AU19" s="10">
        <v>267.18433299999998</v>
      </c>
      <c r="AV19" s="10">
        <v>275.362617</v>
      </c>
      <c r="AW19" s="11">
        <v>437.46057000000002</v>
      </c>
      <c r="AX19" s="10">
        <v>44.893309000000002</v>
      </c>
      <c r="AY19" s="10">
        <v>380.52334400000001</v>
      </c>
      <c r="AZ19" s="10">
        <v>1214.020184</v>
      </c>
      <c r="BA19" s="10">
        <v>472.03724099999999</v>
      </c>
      <c r="BB19" s="10">
        <v>487.14475900000002</v>
      </c>
      <c r="BC19" s="10">
        <v>496.55639400000001</v>
      </c>
      <c r="BD19" s="10">
        <v>594.31135099999995</v>
      </c>
      <c r="BE19" s="10">
        <v>663.49885800000004</v>
      </c>
      <c r="BF19" s="10">
        <v>526.13222599999995</v>
      </c>
      <c r="BG19" s="10">
        <v>561.70997799999998</v>
      </c>
      <c r="BH19" s="10">
        <v>587.88707599999998</v>
      </c>
      <c r="BI19" s="11">
        <v>666.25949000000003</v>
      </c>
      <c r="BJ19" s="10">
        <v>639.87871399999995</v>
      </c>
      <c r="BK19" s="10">
        <v>404.550138</v>
      </c>
      <c r="BL19" s="10">
        <v>398.56269700000001</v>
      </c>
      <c r="BM19" s="10">
        <v>399.14318100000003</v>
      </c>
      <c r="BN19" s="10">
        <v>4330.3123370000003</v>
      </c>
      <c r="BO19" s="10">
        <v>1884.462638</v>
      </c>
      <c r="BP19" s="10">
        <v>2545.188365</v>
      </c>
      <c r="BQ19" s="10">
        <v>1870.245905</v>
      </c>
      <c r="BR19" s="10">
        <v>1567.5461419999999</v>
      </c>
      <c r="BS19" s="10">
        <v>1414.9849730000001</v>
      </c>
      <c r="BT19" s="10">
        <v>1253.0376699999999</v>
      </c>
      <c r="BU19" s="11">
        <v>1305.908604</v>
      </c>
      <c r="BV19" s="10">
        <v>989.13461400000006</v>
      </c>
      <c r="BW19" s="10">
        <v>715.44749400000001</v>
      </c>
      <c r="BX19" s="10">
        <v>707.098615</v>
      </c>
      <c r="BY19" s="10">
        <v>2695.8975390000001</v>
      </c>
      <c r="BZ19" s="10">
        <v>4756.4702319999997</v>
      </c>
      <c r="CA19" s="10">
        <v>1536.3427409999999</v>
      </c>
      <c r="CB19" s="10">
        <v>1742.8371380000001</v>
      </c>
      <c r="CC19" s="10">
        <v>1753.100512</v>
      </c>
      <c r="CD19" s="10">
        <v>1578.1937579999999</v>
      </c>
      <c r="CE19" s="10">
        <v>1496.035466</v>
      </c>
      <c r="CF19" s="10">
        <v>1350.838364</v>
      </c>
      <c r="CG19" s="11">
        <v>1901.2542309999999</v>
      </c>
      <c r="CH19" s="10">
        <v>1581.2250899999999</v>
      </c>
      <c r="CI19" s="10">
        <v>1359.8950319999999</v>
      </c>
      <c r="CJ19" s="10">
        <v>2856.921155</v>
      </c>
      <c r="CK19" s="10">
        <v>7097.159173</v>
      </c>
      <c r="CL19" s="10">
        <v>3067.020935</v>
      </c>
      <c r="CM19" s="10">
        <v>2461.5450219999998</v>
      </c>
      <c r="CN19" s="10">
        <v>2545.148823</v>
      </c>
      <c r="CO19" s="10">
        <v>2970.5414470000001</v>
      </c>
    </row>
    <row r="20" spans="1:93" s="12" customFormat="1" x14ac:dyDescent="0.2">
      <c r="A20" s="9" t="s">
        <v>17</v>
      </c>
      <c r="B20" s="10">
        <v>35.695567750000002</v>
      </c>
      <c r="C20" s="10">
        <v>28.06504687</v>
      </c>
      <c r="D20" s="10">
        <v>55.817252850000003</v>
      </c>
      <c r="E20" s="10">
        <v>119.36832665</v>
      </c>
      <c r="F20" s="10">
        <v>39.968572829999999</v>
      </c>
      <c r="G20" s="10">
        <v>72.443688399999999</v>
      </c>
      <c r="H20" s="10">
        <v>48.874000000000002</v>
      </c>
      <c r="I20" s="10">
        <v>74.716409940000005</v>
      </c>
      <c r="J20" s="10">
        <v>42.6311271</v>
      </c>
      <c r="K20" s="10">
        <v>78.762839659999997</v>
      </c>
      <c r="L20" s="10">
        <v>37.529187409999999</v>
      </c>
      <c r="M20" s="11">
        <v>84.006356769999996</v>
      </c>
      <c r="N20" s="10">
        <v>46.339932220000001</v>
      </c>
      <c r="O20" s="10">
        <v>38.852986000000001</v>
      </c>
      <c r="P20" s="10">
        <v>57.346832479999996</v>
      </c>
      <c r="Q20" s="10">
        <v>27.975481649999999</v>
      </c>
      <c r="R20" s="10">
        <v>39.690767940000001</v>
      </c>
      <c r="S20" s="10">
        <v>156.01106078000001</v>
      </c>
      <c r="T20" s="10">
        <v>119.53208658</v>
      </c>
      <c r="U20" s="10">
        <v>113.44158768999999</v>
      </c>
      <c r="V20" s="10">
        <v>53.278420200000006</v>
      </c>
      <c r="W20" s="10">
        <v>108.50483991</v>
      </c>
      <c r="X20" s="10">
        <v>58.525202920000005</v>
      </c>
      <c r="Y20" s="11">
        <v>127.0532017</v>
      </c>
      <c r="Z20" s="10">
        <v>127.63157854000001</v>
      </c>
      <c r="AA20" s="10">
        <v>84.903338610000006</v>
      </c>
      <c r="AB20" s="10">
        <v>197.37396982000001</v>
      </c>
      <c r="AC20" s="10">
        <v>207.77911993999999</v>
      </c>
      <c r="AD20" s="10">
        <v>117.34382755999999</v>
      </c>
      <c r="AE20" s="10">
        <v>118.06658304</v>
      </c>
      <c r="AF20" s="10">
        <v>149.39078681999999</v>
      </c>
      <c r="AG20" s="10">
        <v>129.06662901000001</v>
      </c>
      <c r="AH20" s="10">
        <v>130.41187285000001</v>
      </c>
      <c r="AI20" s="10">
        <v>120.95826818</v>
      </c>
      <c r="AJ20" s="10">
        <v>141.339</v>
      </c>
      <c r="AK20" s="11">
        <v>166.50449225</v>
      </c>
      <c r="AL20" s="10">
        <v>99.515416939999994</v>
      </c>
      <c r="AM20" s="10">
        <v>166.88546436999999</v>
      </c>
      <c r="AN20" s="10">
        <v>500.54811093000001</v>
      </c>
      <c r="AO20" s="10">
        <v>172.54935542000001</v>
      </c>
      <c r="AP20" s="10">
        <v>149.37883421000001</v>
      </c>
      <c r="AQ20" s="10">
        <v>149.95183474999999</v>
      </c>
      <c r="AR20" s="10">
        <v>168.41475725000001</v>
      </c>
      <c r="AS20" s="10">
        <v>159.63472403</v>
      </c>
      <c r="AT20" s="10">
        <v>157.26378939</v>
      </c>
      <c r="AU20" s="10">
        <v>152.08850658</v>
      </c>
      <c r="AV20" s="10">
        <v>166.94870850999999</v>
      </c>
      <c r="AW20" s="11">
        <v>177.45127633999999</v>
      </c>
      <c r="AX20" s="10">
        <v>137.33782216</v>
      </c>
      <c r="AY20" s="10">
        <v>236.18345905999999</v>
      </c>
      <c r="AZ20" s="10">
        <v>1052.2186831500001</v>
      </c>
      <c r="BA20" s="10">
        <v>271.44537801000001</v>
      </c>
      <c r="BB20" s="10">
        <v>288.28395739000001</v>
      </c>
      <c r="BC20" s="10">
        <v>282.45789005</v>
      </c>
      <c r="BD20" s="10">
        <v>307.53087704000001</v>
      </c>
      <c r="BE20" s="10">
        <v>314.79847698999998</v>
      </c>
      <c r="BF20" s="10">
        <v>308.24441524999997</v>
      </c>
      <c r="BG20" s="10">
        <v>294.21770822000002</v>
      </c>
      <c r="BH20" s="10">
        <v>330.38264495999999</v>
      </c>
      <c r="BI20" s="11">
        <v>450.24855143000002</v>
      </c>
      <c r="BJ20" s="10">
        <v>451.94468522000005</v>
      </c>
      <c r="BK20" s="10">
        <v>781.77019826000003</v>
      </c>
      <c r="BL20" s="10">
        <v>2924.9901884400001</v>
      </c>
      <c r="BM20" s="10">
        <v>662.63083443999994</v>
      </c>
      <c r="BN20" s="10">
        <v>910.45380050999995</v>
      </c>
      <c r="BO20" s="10">
        <v>649.76194932999999</v>
      </c>
      <c r="BP20" s="10">
        <v>1021.4173577</v>
      </c>
      <c r="BQ20" s="10">
        <v>834.21050750999996</v>
      </c>
      <c r="BR20" s="10">
        <v>845.58725479999998</v>
      </c>
      <c r="BS20" s="10">
        <v>966.19686150999996</v>
      </c>
      <c r="BT20" s="10">
        <v>1112.5659058199999</v>
      </c>
      <c r="BU20" s="11">
        <v>1855.6677657</v>
      </c>
      <c r="BV20" s="10">
        <v>1198.2928961700002</v>
      </c>
      <c r="BW20" s="10">
        <v>1817.81881555</v>
      </c>
      <c r="BX20" s="10">
        <v>4904.0428560200007</v>
      </c>
      <c r="BY20" s="10">
        <v>1350.6295929400001</v>
      </c>
      <c r="BZ20" s="10">
        <v>1178.5926243699998</v>
      </c>
      <c r="CA20" s="10">
        <v>1294.53778059</v>
      </c>
      <c r="CB20" s="10">
        <v>1522.4310612100001</v>
      </c>
      <c r="CC20" s="10">
        <v>1343.87516082</v>
      </c>
      <c r="CD20" s="10">
        <v>1486.8789112100001</v>
      </c>
      <c r="CE20" s="10">
        <v>1474.00703699</v>
      </c>
      <c r="CF20" s="10">
        <v>1505.2859092599999</v>
      </c>
      <c r="CG20" s="11">
        <v>2691.7150772399996</v>
      </c>
      <c r="CH20" s="10">
        <v>1472.4475671800001</v>
      </c>
      <c r="CI20" s="10">
        <v>6385.0071320299994</v>
      </c>
      <c r="CJ20" s="10">
        <v>3954.5505447699998</v>
      </c>
      <c r="CK20" s="10">
        <v>1767.6581923900001</v>
      </c>
      <c r="CL20" s="10">
        <v>1546.3329062799999</v>
      </c>
      <c r="CM20" s="10">
        <v>1703.9690492899999</v>
      </c>
      <c r="CN20" s="10">
        <v>1843.3674411099998</v>
      </c>
      <c r="CO20" s="10">
        <v>1893.8761523000001</v>
      </c>
    </row>
    <row r="21" spans="1:93" s="12" customFormat="1" x14ac:dyDescent="0.2">
      <c r="A21" s="9" t="s">
        <v>31</v>
      </c>
      <c r="B21" s="10" t="s">
        <v>3</v>
      </c>
      <c r="C21" s="10" t="s">
        <v>3</v>
      </c>
      <c r="D21" s="10" t="s">
        <v>3</v>
      </c>
      <c r="E21" s="10" t="s">
        <v>3</v>
      </c>
      <c r="F21" s="10" t="s">
        <v>3</v>
      </c>
      <c r="G21" s="10" t="s">
        <v>3</v>
      </c>
      <c r="H21" s="10" t="s">
        <v>3</v>
      </c>
      <c r="I21" s="10" t="s">
        <v>3</v>
      </c>
      <c r="J21" s="10" t="s">
        <v>3</v>
      </c>
      <c r="K21" s="10" t="s">
        <v>3</v>
      </c>
      <c r="L21" s="10" t="s">
        <v>3</v>
      </c>
      <c r="M21" s="11" t="s">
        <v>3</v>
      </c>
      <c r="N21" s="10" t="s">
        <v>3</v>
      </c>
      <c r="O21" s="10" t="s">
        <v>3</v>
      </c>
      <c r="P21" s="10" t="s">
        <v>3</v>
      </c>
      <c r="Q21" s="10" t="s">
        <v>3</v>
      </c>
      <c r="R21" s="10" t="s">
        <v>3</v>
      </c>
      <c r="S21" s="10" t="s">
        <v>3</v>
      </c>
      <c r="T21" s="10" t="s">
        <v>3</v>
      </c>
      <c r="U21" s="10" t="s">
        <v>3</v>
      </c>
      <c r="V21" s="10" t="s">
        <v>3</v>
      </c>
      <c r="W21" s="10" t="s">
        <v>3</v>
      </c>
      <c r="X21" s="10" t="s">
        <v>3</v>
      </c>
      <c r="Y21" s="11" t="s">
        <v>3</v>
      </c>
      <c r="Z21" s="10" t="s">
        <v>3</v>
      </c>
      <c r="AA21" s="10" t="s">
        <v>3</v>
      </c>
      <c r="AB21" s="10" t="s">
        <v>3</v>
      </c>
      <c r="AC21" s="10" t="s">
        <v>3</v>
      </c>
      <c r="AD21" s="10" t="s">
        <v>3</v>
      </c>
      <c r="AE21" s="10" t="s">
        <v>3</v>
      </c>
      <c r="AF21" s="10" t="s">
        <v>3</v>
      </c>
      <c r="AG21" s="10" t="s">
        <v>3</v>
      </c>
      <c r="AH21" s="10" t="s">
        <v>3</v>
      </c>
      <c r="AI21" s="10" t="s">
        <v>3</v>
      </c>
      <c r="AJ21" s="10" t="s">
        <v>3</v>
      </c>
      <c r="AK21" s="11" t="s">
        <v>3</v>
      </c>
      <c r="AL21" s="10" t="s">
        <v>3</v>
      </c>
      <c r="AM21" s="10" t="s">
        <v>3</v>
      </c>
      <c r="AN21" s="10" t="s">
        <v>3</v>
      </c>
      <c r="AO21" s="10" t="s">
        <v>3</v>
      </c>
      <c r="AP21" s="10" t="s">
        <v>3</v>
      </c>
      <c r="AQ21" s="10" t="s">
        <v>3</v>
      </c>
      <c r="AR21" s="10" t="s">
        <v>3</v>
      </c>
      <c r="AS21" s="10" t="s">
        <v>3</v>
      </c>
      <c r="AT21" s="10" t="s">
        <v>3</v>
      </c>
      <c r="AU21" s="10" t="s">
        <v>3</v>
      </c>
      <c r="AV21" s="10" t="s">
        <v>3</v>
      </c>
      <c r="AW21" s="11" t="s">
        <v>3</v>
      </c>
      <c r="AX21" s="10" t="s">
        <v>3</v>
      </c>
      <c r="AY21" s="10" t="s">
        <v>3</v>
      </c>
      <c r="AZ21" s="10" t="s">
        <v>3</v>
      </c>
      <c r="BA21" s="10" t="s">
        <v>3</v>
      </c>
      <c r="BB21" s="10" t="s">
        <v>3</v>
      </c>
      <c r="BC21" s="10" t="s">
        <v>3</v>
      </c>
      <c r="BD21" s="10" t="s">
        <v>3</v>
      </c>
      <c r="BE21" s="10" t="s">
        <v>3</v>
      </c>
      <c r="BF21" s="10" t="s">
        <v>3</v>
      </c>
      <c r="BG21" s="10" t="s">
        <v>3</v>
      </c>
      <c r="BH21" s="10" t="s">
        <v>3</v>
      </c>
      <c r="BI21" s="11" t="s">
        <v>3</v>
      </c>
      <c r="BJ21" s="10" t="s">
        <v>3</v>
      </c>
      <c r="BK21" s="10" t="s">
        <v>3</v>
      </c>
      <c r="BL21" s="10" t="s">
        <v>3</v>
      </c>
      <c r="BM21" s="10" t="s">
        <v>3</v>
      </c>
      <c r="BN21" s="10" t="s">
        <v>3</v>
      </c>
      <c r="BO21" s="10" t="s">
        <v>3</v>
      </c>
      <c r="BP21" s="10" t="s">
        <v>3</v>
      </c>
      <c r="BQ21" s="10" t="s">
        <v>3</v>
      </c>
      <c r="BR21" s="10" t="s">
        <v>3</v>
      </c>
      <c r="BS21" s="10" t="s">
        <v>3</v>
      </c>
      <c r="BT21" s="10" t="s">
        <v>3</v>
      </c>
      <c r="BU21" s="11" t="s">
        <v>3</v>
      </c>
      <c r="BV21" s="10" t="s">
        <v>3</v>
      </c>
      <c r="BW21" s="10" t="s">
        <v>3</v>
      </c>
      <c r="BX21" s="10" t="s">
        <v>3</v>
      </c>
      <c r="BY21" s="10" t="s">
        <v>3</v>
      </c>
      <c r="BZ21" s="10" t="s">
        <v>3</v>
      </c>
      <c r="CA21" s="10" t="s">
        <v>3</v>
      </c>
      <c r="CB21" s="10" t="s">
        <v>3</v>
      </c>
      <c r="CC21" s="10" t="s">
        <v>3</v>
      </c>
      <c r="CD21" s="10" t="s">
        <v>3</v>
      </c>
      <c r="CE21" s="10" t="s">
        <v>3</v>
      </c>
      <c r="CF21" s="10" t="s">
        <v>3</v>
      </c>
      <c r="CG21" s="11" t="s">
        <v>3</v>
      </c>
      <c r="CH21" s="10" t="s">
        <v>3</v>
      </c>
      <c r="CI21" s="10" t="s">
        <v>3</v>
      </c>
      <c r="CJ21" s="10" t="s">
        <v>3</v>
      </c>
      <c r="CK21" s="10" t="s">
        <v>3</v>
      </c>
      <c r="CL21" s="10" t="s">
        <v>3</v>
      </c>
      <c r="CM21" s="10" t="s">
        <v>3</v>
      </c>
      <c r="CN21" s="10" t="s">
        <v>3</v>
      </c>
      <c r="CO21" s="10"/>
    </row>
    <row r="22" spans="1:93" s="12" customFormat="1" x14ac:dyDescent="0.2">
      <c r="A22" s="9" t="s">
        <v>19</v>
      </c>
      <c r="B22" s="10">
        <v>4.2212459999999998</v>
      </c>
      <c r="C22" s="10">
        <v>64.879716999999999</v>
      </c>
      <c r="D22" s="10">
        <v>20.982228000000003</v>
      </c>
      <c r="E22" s="10">
        <v>51.99</v>
      </c>
      <c r="F22" s="10">
        <v>21.310851999999983</v>
      </c>
      <c r="G22" s="10">
        <v>50.273769000000001</v>
      </c>
      <c r="H22" s="10">
        <v>21.220104000000021</v>
      </c>
      <c r="I22" s="10">
        <v>19.345423999999998</v>
      </c>
      <c r="J22" s="10">
        <v>55.444107000000017</v>
      </c>
      <c r="K22" s="10">
        <v>20.11</v>
      </c>
      <c r="L22" s="10">
        <v>47.98</v>
      </c>
      <c r="M22" s="11">
        <v>31.81</v>
      </c>
      <c r="N22" s="10">
        <v>9.19</v>
      </c>
      <c r="O22" s="10">
        <v>100.74</v>
      </c>
      <c r="P22" s="10">
        <v>23.18</v>
      </c>
      <c r="Q22" s="10">
        <v>59.37</v>
      </c>
      <c r="R22" s="10">
        <v>30.49</v>
      </c>
      <c r="S22" s="10">
        <v>82.68</v>
      </c>
      <c r="T22" s="10">
        <v>35.06</v>
      </c>
      <c r="U22" s="10">
        <v>32.909999999999997</v>
      </c>
      <c r="V22" s="10">
        <v>80.58</v>
      </c>
      <c r="W22" s="10">
        <v>31.72</v>
      </c>
      <c r="X22" s="10">
        <v>78.02</v>
      </c>
      <c r="Y22" s="11">
        <v>55.19</v>
      </c>
      <c r="Z22" s="10">
        <v>7.55</v>
      </c>
      <c r="AA22" s="10">
        <v>104.24</v>
      </c>
      <c r="AB22" s="10">
        <v>24.71</v>
      </c>
      <c r="AC22" s="10">
        <v>35.47</v>
      </c>
      <c r="AD22" s="10">
        <v>18.62</v>
      </c>
      <c r="AE22" s="10">
        <v>47.94</v>
      </c>
      <c r="AF22" s="10">
        <v>20.76</v>
      </c>
      <c r="AG22" s="10">
        <v>47.64</v>
      </c>
      <c r="AH22" s="10">
        <v>63.73</v>
      </c>
      <c r="AI22" s="10">
        <v>25.81</v>
      </c>
      <c r="AJ22" s="10">
        <v>56.53</v>
      </c>
      <c r="AK22" s="11">
        <v>40.92</v>
      </c>
      <c r="AL22" s="10">
        <v>5.83</v>
      </c>
      <c r="AM22" s="10">
        <v>138.55000000000001</v>
      </c>
      <c r="AN22" s="10">
        <v>31.93</v>
      </c>
      <c r="AO22" s="10">
        <v>65.84</v>
      </c>
      <c r="AP22" s="10">
        <v>30.3</v>
      </c>
      <c r="AQ22" s="10">
        <v>68.790000000000006</v>
      </c>
      <c r="AR22" s="10">
        <v>28.38</v>
      </c>
      <c r="AS22" s="10">
        <v>28.62</v>
      </c>
      <c r="AT22" s="10">
        <v>65.819999999999993</v>
      </c>
      <c r="AU22" s="10">
        <v>26.43</v>
      </c>
      <c r="AV22" s="10">
        <v>64.69</v>
      </c>
      <c r="AW22" s="11">
        <v>45.7</v>
      </c>
      <c r="AX22" s="10">
        <v>32.17</v>
      </c>
      <c r="AY22" s="10">
        <v>231.32</v>
      </c>
      <c r="AZ22" s="10">
        <v>48.07</v>
      </c>
      <c r="BA22" s="10">
        <v>97.76</v>
      </c>
      <c r="BB22" s="10">
        <v>43.88</v>
      </c>
      <c r="BC22" s="10">
        <v>107.27</v>
      </c>
      <c r="BD22" s="10">
        <v>46.23</v>
      </c>
      <c r="BE22" s="10">
        <v>46.48</v>
      </c>
      <c r="BF22" s="10">
        <v>107.88</v>
      </c>
      <c r="BG22" s="10">
        <v>44</v>
      </c>
      <c r="BH22" s="10">
        <v>100.8</v>
      </c>
      <c r="BI22" s="11">
        <v>84.02</v>
      </c>
      <c r="BJ22" s="10">
        <v>67.12</v>
      </c>
      <c r="BK22" s="10">
        <v>800.61</v>
      </c>
      <c r="BL22" s="10">
        <v>109.06</v>
      </c>
      <c r="BM22" s="10">
        <v>304.45999999999998</v>
      </c>
      <c r="BN22" s="10">
        <v>77.05</v>
      </c>
      <c r="BO22" s="10">
        <v>318.58999999999997</v>
      </c>
      <c r="BP22" s="10">
        <v>174.24</v>
      </c>
      <c r="BQ22" s="10">
        <v>150.97</v>
      </c>
      <c r="BR22" s="10">
        <v>556.17999999999995</v>
      </c>
      <c r="BS22" s="10">
        <v>216.5</v>
      </c>
      <c r="BT22" s="10">
        <v>584.98</v>
      </c>
      <c r="BU22" s="11">
        <v>282.31</v>
      </c>
      <c r="BV22" s="10">
        <v>110.67</v>
      </c>
      <c r="BW22" s="10">
        <v>2190.54</v>
      </c>
      <c r="BX22" s="10">
        <v>279.8</v>
      </c>
      <c r="BY22" s="10">
        <v>357.08</v>
      </c>
      <c r="BZ22" s="10">
        <v>226.67</v>
      </c>
      <c r="CA22" s="10">
        <v>508.06</v>
      </c>
      <c r="CB22" s="10">
        <v>317.35000000000002</v>
      </c>
      <c r="CC22" s="10">
        <v>256.73</v>
      </c>
      <c r="CD22" s="10">
        <v>522.66999999999996</v>
      </c>
      <c r="CE22" s="10">
        <v>271.57</v>
      </c>
      <c r="CF22" s="10">
        <v>480.25</v>
      </c>
      <c r="CG22" s="11">
        <v>340</v>
      </c>
      <c r="CH22" s="10">
        <v>353.47</v>
      </c>
      <c r="CI22" s="10">
        <v>2992.89</v>
      </c>
      <c r="CJ22" s="10">
        <v>420.91</v>
      </c>
      <c r="CK22" s="10">
        <v>466.8</v>
      </c>
      <c r="CL22" s="10">
        <v>255.15</v>
      </c>
      <c r="CM22" s="10">
        <v>639.42999999999995</v>
      </c>
      <c r="CN22" s="10"/>
      <c r="CO22" s="10"/>
    </row>
    <row r="23" spans="1:93" s="12" customFormat="1" x14ac:dyDescent="0.2">
      <c r="A23" s="9" t="s">
        <v>53</v>
      </c>
      <c r="B23" s="10" t="s">
        <v>24</v>
      </c>
      <c r="C23" s="10" t="s">
        <v>24</v>
      </c>
      <c r="D23" s="10" t="s">
        <v>24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1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24</v>
      </c>
      <c r="S23" s="10" t="s">
        <v>24</v>
      </c>
      <c r="T23" s="10" t="s">
        <v>24</v>
      </c>
      <c r="U23" s="10" t="s">
        <v>24</v>
      </c>
      <c r="V23" s="10" t="s">
        <v>24</v>
      </c>
      <c r="W23" s="10" t="s">
        <v>24</v>
      </c>
      <c r="X23" s="10" t="s">
        <v>24</v>
      </c>
      <c r="Y23" s="11" t="s">
        <v>24</v>
      </c>
      <c r="Z23" s="10" t="s">
        <v>24</v>
      </c>
      <c r="AA23" s="10" t="s">
        <v>24</v>
      </c>
      <c r="AB23" s="10" t="s">
        <v>24</v>
      </c>
      <c r="AC23" s="10" t="s">
        <v>24</v>
      </c>
      <c r="AD23" s="10" t="s">
        <v>24</v>
      </c>
      <c r="AE23" s="10" t="s">
        <v>24</v>
      </c>
      <c r="AF23" s="10" t="s">
        <v>24</v>
      </c>
      <c r="AG23" s="10" t="s">
        <v>24</v>
      </c>
      <c r="AH23" s="10" t="s">
        <v>24</v>
      </c>
      <c r="AI23" s="10" t="s">
        <v>24</v>
      </c>
      <c r="AJ23" s="10" t="s">
        <v>24</v>
      </c>
      <c r="AK23" s="11" t="s">
        <v>24</v>
      </c>
      <c r="AL23" s="10" t="s">
        <v>24</v>
      </c>
      <c r="AM23" s="10" t="s">
        <v>24</v>
      </c>
      <c r="AN23" s="10" t="s">
        <v>24</v>
      </c>
      <c r="AO23" s="10" t="s">
        <v>24</v>
      </c>
      <c r="AP23" s="10" t="s">
        <v>24</v>
      </c>
      <c r="AQ23" s="10" t="s">
        <v>24</v>
      </c>
      <c r="AR23" s="10" t="s">
        <v>24</v>
      </c>
      <c r="AS23" s="10" t="s">
        <v>24</v>
      </c>
      <c r="AT23" s="10" t="s">
        <v>24</v>
      </c>
      <c r="AU23" s="10" t="s">
        <v>24</v>
      </c>
      <c r="AV23" s="10" t="s">
        <v>24</v>
      </c>
      <c r="AW23" s="11" t="s">
        <v>24</v>
      </c>
      <c r="AX23" s="10" t="s">
        <v>24</v>
      </c>
      <c r="AY23" s="10" t="s">
        <v>24</v>
      </c>
      <c r="AZ23" s="10" t="s">
        <v>24</v>
      </c>
      <c r="BA23" s="10" t="s">
        <v>24</v>
      </c>
      <c r="BB23" s="10" t="s">
        <v>24</v>
      </c>
      <c r="BC23" s="10" t="s">
        <v>24</v>
      </c>
      <c r="BD23" s="10" t="s">
        <v>24</v>
      </c>
      <c r="BE23" s="10" t="s">
        <v>24</v>
      </c>
      <c r="BF23" s="10" t="s">
        <v>24</v>
      </c>
      <c r="BG23" s="10" t="s">
        <v>24</v>
      </c>
      <c r="BH23" s="10" t="s">
        <v>24</v>
      </c>
      <c r="BI23" s="11" t="s">
        <v>24</v>
      </c>
      <c r="BJ23" s="10">
        <v>185.21586383000002</v>
      </c>
      <c r="BK23" s="10">
        <v>210.60199544999998</v>
      </c>
      <c r="BL23" s="10">
        <v>627.12869526999998</v>
      </c>
      <c r="BM23" s="10">
        <v>1639.6067489300001</v>
      </c>
      <c r="BN23" s="10">
        <v>1034.6233039799999</v>
      </c>
      <c r="BO23" s="10">
        <v>615.43404025999996</v>
      </c>
      <c r="BP23" s="10">
        <v>640.00834338000004</v>
      </c>
      <c r="BQ23" s="10">
        <v>675.82892130999994</v>
      </c>
      <c r="BR23" s="10">
        <v>686.46961455999997</v>
      </c>
      <c r="BS23" s="10">
        <v>394.49696866000005</v>
      </c>
      <c r="BT23" s="10">
        <v>678.97438739999996</v>
      </c>
      <c r="BU23" s="11">
        <v>370.89739818999999</v>
      </c>
      <c r="BV23" s="10">
        <v>513.08141443</v>
      </c>
      <c r="BW23" s="10">
        <v>335.74239187000001</v>
      </c>
      <c r="BX23" s="10">
        <v>2406.00072808</v>
      </c>
      <c r="BY23" s="10">
        <v>2175.0019086100001</v>
      </c>
      <c r="BZ23" s="10">
        <v>1001.73289583</v>
      </c>
      <c r="CA23" s="10">
        <v>794.10275540999999</v>
      </c>
      <c r="CB23" s="10">
        <v>1106.5700666099999</v>
      </c>
      <c r="CC23" s="10">
        <v>775.20128575000001</v>
      </c>
      <c r="CD23" s="10">
        <v>1106.73249747</v>
      </c>
      <c r="CE23" s="10">
        <v>627.00388772999997</v>
      </c>
      <c r="CF23" s="10">
        <v>654.88920439000003</v>
      </c>
      <c r="CG23" s="11">
        <v>1010.1883069600001</v>
      </c>
      <c r="CH23" s="10">
        <v>595.72286411000005</v>
      </c>
      <c r="CI23" s="10">
        <v>410.00332035000002</v>
      </c>
      <c r="CJ23" s="10">
        <v>499.69272637</v>
      </c>
      <c r="CK23" s="10">
        <v>614.32215222000002</v>
      </c>
      <c r="CL23" s="10">
        <v>3266.9260857899999</v>
      </c>
      <c r="CM23" s="10">
        <v>2867.88610165</v>
      </c>
      <c r="CN23" s="10">
        <v>1500.6678994700001</v>
      </c>
      <c r="CO23" s="10">
        <v>1417.40229402</v>
      </c>
    </row>
    <row r="24" spans="1:93" s="12" customFormat="1" x14ac:dyDescent="0.2">
      <c r="A24" s="9" t="s">
        <v>22</v>
      </c>
      <c r="B24" s="10" t="s">
        <v>3</v>
      </c>
      <c r="C24" s="10" t="s">
        <v>3</v>
      </c>
      <c r="D24" s="10" t="s">
        <v>3</v>
      </c>
      <c r="E24" s="10" t="s">
        <v>3</v>
      </c>
      <c r="F24" s="10" t="s">
        <v>3</v>
      </c>
      <c r="G24" s="10" t="s">
        <v>3</v>
      </c>
      <c r="H24" s="10" t="s">
        <v>3</v>
      </c>
      <c r="I24" s="10" t="s">
        <v>3</v>
      </c>
      <c r="J24" s="10" t="s">
        <v>3</v>
      </c>
      <c r="K24" s="10" t="s">
        <v>3</v>
      </c>
      <c r="L24" s="10" t="s">
        <v>3</v>
      </c>
      <c r="M24" s="11" t="s">
        <v>3</v>
      </c>
      <c r="N24" s="10" t="s">
        <v>3</v>
      </c>
      <c r="O24" s="10" t="s">
        <v>3</v>
      </c>
      <c r="P24" s="10" t="s">
        <v>3</v>
      </c>
      <c r="Q24" s="10" t="s">
        <v>3</v>
      </c>
      <c r="R24" s="10" t="s">
        <v>3</v>
      </c>
      <c r="S24" s="10" t="s">
        <v>3</v>
      </c>
      <c r="T24" s="10" t="s">
        <v>3</v>
      </c>
      <c r="U24" s="10" t="s">
        <v>3</v>
      </c>
      <c r="V24" s="10" t="s">
        <v>3</v>
      </c>
      <c r="W24" s="10" t="s">
        <v>3</v>
      </c>
      <c r="X24" s="10" t="s">
        <v>3</v>
      </c>
      <c r="Y24" s="11" t="s">
        <v>3</v>
      </c>
      <c r="Z24" s="10" t="s">
        <v>3</v>
      </c>
      <c r="AA24" s="10" t="s">
        <v>3</v>
      </c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 t="s">
        <v>3</v>
      </c>
      <c r="AI24" s="10" t="s">
        <v>3</v>
      </c>
      <c r="AJ24" s="10" t="s">
        <v>3</v>
      </c>
      <c r="AK24" s="11" t="s">
        <v>3</v>
      </c>
      <c r="AL24" s="10" t="s">
        <v>3</v>
      </c>
      <c r="AM24" s="10" t="s">
        <v>3</v>
      </c>
      <c r="AN24" s="10" t="s">
        <v>3</v>
      </c>
      <c r="AO24" s="10" t="s">
        <v>3</v>
      </c>
      <c r="AP24" s="10" t="s">
        <v>3</v>
      </c>
      <c r="AQ24" s="10" t="s">
        <v>3</v>
      </c>
      <c r="AR24" s="10" t="s">
        <v>3</v>
      </c>
      <c r="AS24" s="10" t="s">
        <v>3</v>
      </c>
      <c r="AT24" s="10" t="s">
        <v>3</v>
      </c>
      <c r="AU24" s="10" t="s">
        <v>3</v>
      </c>
      <c r="AV24" s="10" t="s">
        <v>3</v>
      </c>
      <c r="AW24" s="11" t="s">
        <v>3</v>
      </c>
      <c r="AX24" s="10" t="s">
        <v>3</v>
      </c>
      <c r="AY24" s="10" t="s">
        <v>3</v>
      </c>
      <c r="AZ24" s="10" t="s">
        <v>3</v>
      </c>
      <c r="BA24" s="10" t="s">
        <v>3</v>
      </c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1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 t="s">
        <v>3</v>
      </c>
      <c r="BR24" s="10" t="s">
        <v>3</v>
      </c>
      <c r="BS24" s="10" t="s">
        <v>3</v>
      </c>
      <c r="BT24" s="10" t="s">
        <v>3</v>
      </c>
      <c r="BU24" s="11" t="s">
        <v>3</v>
      </c>
      <c r="BV24" s="10" t="s">
        <v>3</v>
      </c>
      <c r="BW24" s="10" t="s">
        <v>3</v>
      </c>
      <c r="BX24" s="10" t="s">
        <v>3</v>
      </c>
      <c r="BY24" s="10" t="s">
        <v>3</v>
      </c>
      <c r="BZ24" s="10" t="s">
        <v>3</v>
      </c>
      <c r="CA24" s="10" t="s">
        <v>3</v>
      </c>
      <c r="CB24" s="10" t="s">
        <v>3</v>
      </c>
      <c r="CC24" s="10" t="s">
        <v>3</v>
      </c>
      <c r="CD24" s="10" t="s">
        <v>3</v>
      </c>
      <c r="CE24" s="10" t="s">
        <v>3</v>
      </c>
      <c r="CF24" s="10" t="s">
        <v>3</v>
      </c>
      <c r="CG24" s="11" t="s">
        <v>3</v>
      </c>
      <c r="CH24" s="10" t="s">
        <v>3</v>
      </c>
      <c r="CI24" s="10" t="s">
        <v>3</v>
      </c>
      <c r="CJ24" s="10" t="s">
        <v>3</v>
      </c>
      <c r="CK24" s="10" t="s">
        <v>3</v>
      </c>
      <c r="CL24" s="10" t="s">
        <v>3</v>
      </c>
      <c r="CM24" s="10" t="s">
        <v>3</v>
      </c>
      <c r="CN24" s="10" t="s">
        <v>3</v>
      </c>
      <c r="CO24" s="10"/>
    </row>
    <row r="25" spans="1:93" s="12" customFormat="1" x14ac:dyDescent="0.2">
      <c r="A25" s="9" t="s">
        <v>20</v>
      </c>
      <c r="B25" s="10">
        <v>119.689888</v>
      </c>
      <c r="C25" s="10">
        <v>73.572492999999994</v>
      </c>
      <c r="D25" s="10">
        <v>69.939711000000003</v>
      </c>
      <c r="E25" s="10">
        <v>87.604429999999994</v>
      </c>
      <c r="F25" s="10">
        <v>102.62140100000001</v>
      </c>
      <c r="G25" s="10">
        <v>99.003535999999997</v>
      </c>
      <c r="H25" s="10">
        <v>116.479974</v>
      </c>
      <c r="I25" s="10">
        <v>103.038814</v>
      </c>
      <c r="J25" s="10">
        <v>94.694519</v>
      </c>
      <c r="K25" s="10">
        <v>97.973877999999999</v>
      </c>
      <c r="L25" s="10">
        <v>100.313671</v>
      </c>
      <c r="M25" s="11">
        <v>293.09655900000001</v>
      </c>
      <c r="N25" s="10">
        <v>180.60629299999999</v>
      </c>
      <c r="O25" s="10">
        <v>104.92755699999999</v>
      </c>
      <c r="P25" s="10">
        <v>79.989203000000003</v>
      </c>
      <c r="Q25" s="10">
        <v>61.211604999999999</v>
      </c>
      <c r="R25" s="10">
        <v>85.328721999999999</v>
      </c>
      <c r="S25" s="10">
        <v>108.522792</v>
      </c>
      <c r="T25" s="10">
        <v>135.42038299999999</v>
      </c>
      <c r="U25" s="10">
        <v>129.70320699999999</v>
      </c>
      <c r="V25" s="10">
        <v>132.58060800000001</v>
      </c>
      <c r="W25" s="10">
        <v>135.32726700000001</v>
      </c>
      <c r="X25" s="10">
        <v>139.48077599999999</v>
      </c>
      <c r="Y25" s="11">
        <v>428.36579899999998</v>
      </c>
      <c r="Z25" s="10">
        <v>283.05352099999999</v>
      </c>
      <c r="AA25" s="10">
        <v>158.47541799999999</v>
      </c>
      <c r="AB25" s="10">
        <v>176.32186799999999</v>
      </c>
      <c r="AC25" s="10">
        <v>169.309</v>
      </c>
      <c r="AD25" s="10">
        <v>165.99063100000001</v>
      </c>
      <c r="AE25" s="10">
        <v>184.91135</v>
      </c>
      <c r="AF25" s="10">
        <v>218.16565700000001</v>
      </c>
      <c r="AG25" s="10">
        <v>216.745079</v>
      </c>
      <c r="AH25" s="10">
        <v>240.24818999999999</v>
      </c>
      <c r="AI25" s="10">
        <v>260.23798099999999</v>
      </c>
      <c r="AJ25" s="10">
        <v>271.222217</v>
      </c>
      <c r="AK25" s="11">
        <v>859.41650700000002</v>
      </c>
      <c r="AL25" s="10">
        <v>496.75869</v>
      </c>
      <c r="AM25" s="10">
        <v>314.23029200000002</v>
      </c>
      <c r="AN25" s="10">
        <v>344.92965500000003</v>
      </c>
      <c r="AO25" s="10">
        <v>324.82541400000002</v>
      </c>
      <c r="AP25" s="10">
        <v>352.17495700000001</v>
      </c>
      <c r="AQ25" s="10">
        <v>347.12011000000001</v>
      </c>
      <c r="AR25" s="10">
        <v>357.17665699999998</v>
      </c>
      <c r="AS25" s="10">
        <v>389.65373</v>
      </c>
      <c r="AT25" s="10">
        <v>391.65427</v>
      </c>
      <c r="AU25" s="10">
        <v>387.28238900000002</v>
      </c>
      <c r="AV25" s="10">
        <v>405.68402900000001</v>
      </c>
      <c r="AW25" s="11">
        <v>1319.528472</v>
      </c>
      <c r="AX25" s="10">
        <v>825.68357600000002</v>
      </c>
      <c r="AY25" s="10">
        <v>456.87039900000002</v>
      </c>
      <c r="AZ25" s="10">
        <v>528.34929299999999</v>
      </c>
      <c r="BA25" s="10">
        <v>498.639387</v>
      </c>
      <c r="BB25" s="10">
        <v>548.89754300000004</v>
      </c>
      <c r="BC25" s="10">
        <v>612.13537099999996</v>
      </c>
      <c r="BD25" s="10">
        <v>639.77587700000004</v>
      </c>
      <c r="BE25" s="10">
        <v>680.58585900000003</v>
      </c>
      <c r="BF25" s="10">
        <v>641.484556</v>
      </c>
      <c r="BG25" s="10">
        <v>690.864147</v>
      </c>
      <c r="BH25" s="10">
        <v>677.19361700000002</v>
      </c>
      <c r="BI25" s="11">
        <v>4017.5648430000001</v>
      </c>
      <c r="BJ25" s="10">
        <v>2679.715635</v>
      </c>
      <c r="BK25" s="10">
        <v>1288.129602</v>
      </c>
      <c r="BL25" s="10">
        <v>1328.33053</v>
      </c>
      <c r="BM25" s="10">
        <v>1783.6593660000001</v>
      </c>
      <c r="BN25" s="10">
        <v>2086.5963430000002</v>
      </c>
      <c r="BO25" s="10">
        <v>1972.567452</v>
      </c>
      <c r="BP25" s="10">
        <v>2471.6290730000001</v>
      </c>
      <c r="BQ25" s="10">
        <v>2555.5861960000002</v>
      </c>
      <c r="BR25" s="10">
        <v>2405.4736109999999</v>
      </c>
      <c r="BS25" s="10">
        <v>2664.5807589999999</v>
      </c>
      <c r="BT25" s="10">
        <v>2452.9580550000001</v>
      </c>
      <c r="BU25" s="11">
        <v>9267.7223709999998</v>
      </c>
      <c r="BV25" s="10">
        <v>5200.7537060000004</v>
      </c>
      <c r="BW25" s="10">
        <v>2819.0869290000001</v>
      </c>
      <c r="BX25" s="10">
        <v>2667.6349930000001</v>
      </c>
      <c r="BY25" s="10">
        <v>2891.5994559999999</v>
      </c>
      <c r="BZ25" s="10">
        <v>2863.884513</v>
      </c>
      <c r="CA25" s="10">
        <v>2990.3924820000002</v>
      </c>
      <c r="CB25" s="10">
        <v>3407.6312400000002</v>
      </c>
      <c r="CC25" s="10">
        <v>3138.6949500000001</v>
      </c>
      <c r="CD25" s="10">
        <v>3014.540152</v>
      </c>
      <c r="CE25" s="10">
        <v>3384.2735640000001</v>
      </c>
      <c r="CF25" s="10">
        <v>3211.4587590000001</v>
      </c>
      <c r="CG25" s="11">
        <v>11337.994208</v>
      </c>
      <c r="CH25" s="10">
        <v>6026.3847269999997</v>
      </c>
      <c r="CI25" s="10">
        <v>3264.8930730000002</v>
      </c>
      <c r="CJ25" s="10">
        <v>3424.9287690000001</v>
      </c>
      <c r="CK25" s="10">
        <v>3670.7549610000001</v>
      </c>
      <c r="CL25" s="10">
        <v>3786.3549760000001</v>
      </c>
      <c r="CM25" s="10">
        <v>4169.6392720000003</v>
      </c>
      <c r="CN25" s="10">
        <v>4417.9903249999998</v>
      </c>
      <c r="CO25" s="10"/>
    </row>
    <row r="26" spans="1:93" s="12" customFormat="1" ht="12" thickBot="1" x14ac:dyDescent="0.3">
      <c r="A26" s="13" t="s">
        <v>1</v>
      </c>
      <c r="B26" s="14">
        <f t="shared" ref="B26:AG26" si="0">SUM(B2:B25)</f>
        <v>7335.2434729700008</v>
      </c>
      <c r="C26" s="15">
        <f t="shared" si="0"/>
        <v>5371.9226878799973</v>
      </c>
      <c r="D26" s="15">
        <f t="shared" si="0"/>
        <v>5755.7151397500002</v>
      </c>
      <c r="E26" s="15">
        <f t="shared" si="0"/>
        <v>4402.8324292000007</v>
      </c>
      <c r="F26" s="15">
        <f t="shared" si="0"/>
        <v>5003.80790144</v>
      </c>
      <c r="G26" s="15">
        <f t="shared" si="0"/>
        <v>3954.5158766899999</v>
      </c>
      <c r="H26" s="15">
        <f t="shared" si="0"/>
        <v>5416.367025739999</v>
      </c>
      <c r="I26" s="15">
        <f t="shared" si="0"/>
        <v>4086.8625881400003</v>
      </c>
      <c r="J26" s="15">
        <f t="shared" si="0"/>
        <v>5191.7340517799994</v>
      </c>
      <c r="K26" s="15">
        <f t="shared" si="0"/>
        <v>3624.9725476899994</v>
      </c>
      <c r="L26" s="15">
        <f t="shared" si="0"/>
        <v>2353.5496377199997</v>
      </c>
      <c r="M26" s="16">
        <f t="shared" si="0"/>
        <v>3408.5577789699996</v>
      </c>
      <c r="N26" s="14">
        <f t="shared" si="0"/>
        <v>3451.4862811799999</v>
      </c>
      <c r="O26" s="15">
        <f t="shared" si="0"/>
        <v>7146.9361078299999</v>
      </c>
      <c r="P26" s="15">
        <f t="shared" si="0"/>
        <v>10196.340782220001</v>
      </c>
      <c r="Q26" s="15">
        <f t="shared" si="0"/>
        <v>3400.3606844099995</v>
      </c>
      <c r="R26" s="15">
        <f t="shared" si="0"/>
        <v>5711.6624497699986</v>
      </c>
      <c r="S26" s="15">
        <f t="shared" si="0"/>
        <v>5579.0980140399988</v>
      </c>
      <c r="T26" s="15">
        <f t="shared" si="0"/>
        <v>6666.0651202600011</v>
      </c>
      <c r="U26" s="15">
        <f t="shared" si="0"/>
        <v>4887.2494081999994</v>
      </c>
      <c r="V26" s="15">
        <f t="shared" si="0"/>
        <v>7626.7803468199991</v>
      </c>
      <c r="W26" s="15">
        <f t="shared" si="0"/>
        <v>5394.9599237699995</v>
      </c>
      <c r="X26" s="15">
        <f t="shared" si="0"/>
        <v>7532.9273318100013</v>
      </c>
      <c r="Y26" s="16">
        <f t="shared" si="0"/>
        <v>6227.4439989499997</v>
      </c>
      <c r="Z26" s="14">
        <f t="shared" si="0"/>
        <v>13240.78126165</v>
      </c>
      <c r="AA26" s="15">
        <f t="shared" si="0"/>
        <v>12520.585135860001</v>
      </c>
      <c r="AB26" s="15">
        <f t="shared" si="0"/>
        <v>13230.90843444</v>
      </c>
      <c r="AC26" s="15">
        <f t="shared" si="0"/>
        <v>7766.4960899400003</v>
      </c>
      <c r="AD26" s="15">
        <f t="shared" si="0"/>
        <v>10563.59188201</v>
      </c>
      <c r="AE26" s="15">
        <f t="shared" si="0"/>
        <v>8579.687744660001</v>
      </c>
      <c r="AF26" s="15">
        <f t="shared" si="0"/>
        <v>11362.898056009999</v>
      </c>
      <c r="AG26" s="15">
        <f t="shared" si="0"/>
        <v>8126.6812224600017</v>
      </c>
      <c r="AH26" s="15">
        <f t="shared" ref="AH26:CO26" si="1">SUM(AH2:AH25)</f>
        <v>12180.48056821</v>
      </c>
      <c r="AI26" s="15">
        <f t="shared" si="1"/>
        <v>7117.3062761800038</v>
      </c>
      <c r="AJ26" s="15">
        <f t="shared" si="1"/>
        <v>5717.366196070001</v>
      </c>
      <c r="AK26" s="16">
        <f t="shared" si="1"/>
        <v>8222.9584892900002</v>
      </c>
      <c r="AL26" s="14">
        <f t="shared" si="1"/>
        <v>5195.31351842</v>
      </c>
      <c r="AM26" s="15">
        <f t="shared" si="1"/>
        <v>14435.674493299999</v>
      </c>
      <c r="AN26" s="15">
        <f t="shared" si="1"/>
        <v>27495.442480450009</v>
      </c>
      <c r="AO26" s="15">
        <f t="shared" si="1"/>
        <v>11106.592045930001</v>
      </c>
      <c r="AP26" s="15">
        <f t="shared" si="1"/>
        <v>16844.950770460004</v>
      </c>
      <c r="AQ26" s="15">
        <f t="shared" si="1"/>
        <v>13033.205115309998</v>
      </c>
      <c r="AR26" s="15">
        <f t="shared" si="1"/>
        <v>17769.525511690001</v>
      </c>
      <c r="AS26" s="15">
        <f t="shared" si="1"/>
        <v>12960.923292610001</v>
      </c>
      <c r="AT26" s="15">
        <f t="shared" si="1"/>
        <v>18404.259946569997</v>
      </c>
      <c r="AU26" s="15">
        <f t="shared" si="1"/>
        <v>11686.388643909186</v>
      </c>
      <c r="AV26" s="15">
        <f t="shared" si="1"/>
        <v>19449.17681660688</v>
      </c>
      <c r="AW26" s="16">
        <f t="shared" si="1"/>
        <v>12471.179796448885</v>
      </c>
      <c r="AX26" s="14">
        <f t="shared" si="1"/>
        <v>9776.4322947458058</v>
      </c>
      <c r="AY26" s="15">
        <f t="shared" si="1"/>
        <v>22492.838700779601</v>
      </c>
      <c r="AZ26" s="15">
        <f t="shared" si="1"/>
        <v>44863.547656112081</v>
      </c>
      <c r="BA26" s="15">
        <f t="shared" si="1"/>
        <v>20021.68603168043</v>
      </c>
      <c r="BB26" s="15">
        <f t="shared" si="1"/>
        <v>26049.436906296971</v>
      </c>
      <c r="BC26" s="15">
        <f t="shared" si="1"/>
        <v>22122.779431269344</v>
      </c>
      <c r="BD26" s="15">
        <f t="shared" si="1"/>
        <v>29469.41671834993</v>
      </c>
      <c r="BE26" s="15">
        <f t="shared" si="1"/>
        <v>22354.852844025772</v>
      </c>
      <c r="BF26" s="15">
        <f t="shared" si="1"/>
        <v>30828.483803822841</v>
      </c>
      <c r="BG26" s="15">
        <f t="shared" si="1"/>
        <v>21008.785189671831</v>
      </c>
      <c r="BH26" s="15">
        <f t="shared" si="1"/>
        <v>32309.355309070648</v>
      </c>
      <c r="BI26" s="16">
        <f t="shared" si="1"/>
        <v>27336.713931677477</v>
      </c>
      <c r="BJ26" s="14">
        <f t="shared" si="1"/>
        <v>29769.602034296015</v>
      </c>
      <c r="BK26" s="15">
        <f t="shared" si="1"/>
        <v>59768.273083120752</v>
      </c>
      <c r="BL26" s="15">
        <f t="shared" si="1"/>
        <v>108854.43491916916</v>
      </c>
      <c r="BM26" s="15">
        <f t="shared" si="1"/>
        <v>61775.778302495433</v>
      </c>
      <c r="BN26" s="15">
        <f t="shared" si="1"/>
        <v>109686.16695357335</v>
      </c>
      <c r="BO26" s="15">
        <f t="shared" si="1"/>
        <v>55300.143293625246</v>
      </c>
      <c r="BP26" s="15">
        <f t="shared" si="1"/>
        <v>113786.49107366125</v>
      </c>
      <c r="BQ26" s="15">
        <f t="shared" si="1"/>
        <v>78232.86001724744</v>
      </c>
      <c r="BR26" s="15">
        <f t="shared" si="1"/>
        <v>116786.92598782573</v>
      </c>
      <c r="BS26" s="15">
        <f t="shared" si="1"/>
        <v>71681.229996834809</v>
      </c>
      <c r="BT26" s="15">
        <f t="shared" si="1"/>
        <v>119751.01616655478</v>
      </c>
      <c r="BU26" s="16">
        <f t="shared" si="1"/>
        <v>83807.201712714363</v>
      </c>
      <c r="BV26" s="14">
        <f t="shared" si="1"/>
        <v>54073.636515386199</v>
      </c>
      <c r="BW26" s="15">
        <f t="shared" si="1"/>
        <v>132143.82321519457</v>
      </c>
      <c r="BX26" s="15">
        <f t="shared" si="1"/>
        <v>209933.71261310668</v>
      </c>
      <c r="BY26" s="15">
        <f t="shared" si="1"/>
        <v>144284.06921582343</v>
      </c>
      <c r="BZ26" s="15">
        <f t="shared" si="1"/>
        <v>138078.17986892379</v>
      </c>
      <c r="CA26" s="15">
        <f t="shared" si="1"/>
        <v>123512.28966991803</v>
      </c>
      <c r="CB26" s="15">
        <f t="shared" si="1"/>
        <v>182521.36956747193</v>
      </c>
      <c r="CC26" s="15">
        <f t="shared" si="1"/>
        <v>123425.35893087067</v>
      </c>
      <c r="CD26" s="15">
        <f t="shared" si="1"/>
        <v>184257.51373930482</v>
      </c>
      <c r="CE26" s="15">
        <f t="shared" si="1"/>
        <v>127521.71509000057</v>
      </c>
      <c r="CF26" s="15">
        <f t="shared" si="1"/>
        <v>175207.74548831236</v>
      </c>
      <c r="CG26" s="16">
        <f t="shared" si="1"/>
        <v>141543.92820535699</v>
      </c>
      <c r="CH26" s="14">
        <f>SUM(CH2:CH25)</f>
        <v>93882.402764447412</v>
      </c>
      <c r="CI26" s="15">
        <f t="shared" si="1"/>
        <v>174194.86171073082</v>
      </c>
      <c r="CJ26" s="15">
        <f t="shared" si="1"/>
        <v>246334.71298480238</v>
      </c>
      <c r="CK26" s="15">
        <f t="shared" si="1"/>
        <v>221552.30316990116</v>
      </c>
      <c r="CL26" s="15">
        <f t="shared" si="1"/>
        <v>144973.84654218151</v>
      </c>
      <c r="CM26" s="15">
        <f t="shared" si="1"/>
        <v>185975.87006467031</v>
      </c>
      <c r="CN26" s="15">
        <f t="shared" si="1"/>
        <v>156659.63461286773</v>
      </c>
      <c r="CO26" s="15">
        <f t="shared" si="1"/>
        <v>106285.07163823998</v>
      </c>
    </row>
    <row r="27" spans="1:93" ht="12" thickTop="1" x14ac:dyDescent="0.25">
      <c r="A27" s="9"/>
      <c r="B27" s="17"/>
      <c r="C27" s="17"/>
      <c r="D27" s="17"/>
      <c r="E27" s="12"/>
      <c r="F27" s="12"/>
      <c r="G27" s="12"/>
      <c r="H27" s="12"/>
      <c r="N27" s="17"/>
      <c r="O27" s="17"/>
      <c r="P27" s="17"/>
      <c r="Q27" s="12"/>
      <c r="R27" s="12"/>
      <c r="S27" s="12"/>
      <c r="T27" s="12"/>
      <c r="Z27" s="17"/>
      <c r="AA27" s="17"/>
      <c r="AB27" s="17"/>
      <c r="AC27" s="12"/>
      <c r="AD27" s="12"/>
      <c r="AE27" s="12"/>
      <c r="AF27" s="12"/>
      <c r="AL27" s="17"/>
      <c r="AM27" s="17"/>
      <c r="AN27" s="17"/>
      <c r="AO27" s="12"/>
      <c r="AP27" s="12"/>
      <c r="AQ27" s="12"/>
      <c r="AR27" s="12"/>
      <c r="AX27" s="17"/>
      <c r="AY27" s="17"/>
      <c r="AZ27" s="17"/>
      <c r="BA27" s="12"/>
      <c r="BB27" s="12"/>
      <c r="BC27" s="12"/>
      <c r="BD27" s="12"/>
      <c r="BJ27" s="17"/>
      <c r="BK27" s="17"/>
      <c r="BL27" s="17"/>
      <c r="BM27" s="12"/>
      <c r="BN27" s="12"/>
      <c r="BO27" s="12"/>
      <c r="BP27" s="12"/>
      <c r="BV27" s="17"/>
      <c r="BW27" s="17"/>
      <c r="BX27" s="17"/>
      <c r="BY27" s="12"/>
      <c r="BZ27" s="12"/>
      <c r="CA27" s="12"/>
      <c r="CB27" s="12"/>
      <c r="CH27" s="17"/>
      <c r="CI27" s="17"/>
      <c r="CJ27" s="17"/>
      <c r="CK27" s="12"/>
      <c r="CL27" s="12"/>
      <c r="CM27" s="12"/>
      <c r="CN27" s="12"/>
      <c r="CO27" s="12"/>
    </row>
    <row r="28" spans="1:93" x14ac:dyDescent="0.25">
      <c r="A28" s="18" t="s">
        <v>36</v>
      </c>
      <c r="B28" s="19"/>
      <c r="D28" s="19"/>
      <c r="E28" s="19"/>
      <c r="N28" s="19"/>
      <c r="P28" s="19"/>
      <c r="Q28" s="19"/>
      <c r="Z28" s="19"/>
      <c r="AB28" s="19"/>
      <c r="AC28" s="19"/>
      <c r="AL28" s="19"/>
      <c r="AN28" s="19"/>
      <c r="AO28" s="19"/>
      <c r="AX28" s="19"/>
      <c r="AZ28" s="19"/>
      <c r="BA28" s="19"/>
      <c r="BJ28" s="19"/>
      <c r="BL28" s="19"/>
      <c r="BM28" s="19"/>
      <c r="BV28" s="19"/>
      <c r="BX28" s="19"/>
      <c r="BY28" s="19"/>
      <c r="CH28" s="19"/>
      <c r="CJ28" s="19"/>
      <c r="CK28" s="19"/>
      <c r="CL28" s="19"/>
      <c r="CM28" s="19"/>
      <c r="CN28" s="19"/>
      <c r="CO28" s="19"/>
    </row>
    <row r="29" spans="1:93" x14ac:dyDescent="0.25">
      <c r="A29" s="23" t="s">
        <v>62</v>
      </c>
      <c r="B29" s="19"/>
      <c r="D29" s="19"/>
      <c r="E29" s="19"/>
      <c r="N29" s="19"/>
      <c r="P29" s="19"/>
      <c r="Q29" s="19"/>
      <c r="Z29" s="19"/>
      <c r="AB29" s="19"/>
      <c r="AC29" s="19"/>
      <c r="AL29" s="19"/>
      <c r="AN29" s="19"/>
      <c r="AO29" s="19"/>
      <c r="AX29" s="19"/>
      <c r="AZ29" s="19"/>
      <c r="BA29" s="19"/>
      <c r="BJ29" s="19"/>
      <c r="BL29" s="19"/>
      <c r="BM29" s="19"/>
      <c r="BV29" s="19"/>
      <c r="BX29" s="19"/>
      <c r="BY29" s="19"/>
      <c r="CH29" s="19"/>
      <c r="CJ29" s="19"/>
      <c r="CK29" s="19"/>
      <c r="CL29" s="19"/>
      <c r="CM29" s="19"/>
      <c r="CN29" s="19"/>
      <c r="CO2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85"/>
  <sheetViews>
    <sheetView workbookViewId="0">
      <pane xSplit="1" ySplit="1" topLeftCell="BY3" activePane="bottomRight" state="frozen"/>
      <selection pane="topRight" activeCell="B1" sqref="B1"/>
      <selection pane="bottomLeft" activeCell="A2" sqref="A2"/>
      <selection pane="bottomRight" activeCell="CM22" sqref="CM22"/>
    </sheetView>
  </sheetViews>
  <sheetFormatPr baseColWidth="10" defaultColWidth="11.5703125" defaultRowHeight="11.25" x14ac:dyDescent="0.25"/>
  <cols>
    <col min="1" max="1" width="15" style="20" bestFit="1" customWidth="1"/>
    <col min="2" max="11" width="7" style="8" bestFit="1" customWidth="1"/>
    <col min="12" max="12" width="7.85546875" style="8" bestFit="1" customWidth="1"/>
    <col min="13" max="13" width="7" style="8" bestFit="1" customWidth="1"/>
    <col min="14" max="16" width="7.85546875" style="8" bestFit="1" customWidth="1"/>
    <col min="17" max="18" width="7" style="8" bestFit="1" customWidth="1"/>
    <col min="19" max="58" width="7.85546875" style="8" bestFit="1" customWidth="1"/>
    <col min="59" max="88" width="9.140625" style="8" bestFit="1" customWidth="1"/>
    <col min="89" max="93" width="8.85546875" style="8" customWidth="1"/>
    <col min="94" max="16384" width="11.5703125" style="8"/>
  </cols>
  <sheetData>
    <row r="1" spans="1:93" x14ac:dyDescent="0.25">
      <c r="A1" s="4" t="s">
        <v>0</v>
      </c>
      <c r="B1" s="5">
        <v>43466</v>
      </c>
      <c r="C1" s="6">
        <v>43497</v>
      </c>
      <c r="D1" s="6">
        <v>43525</v>
      </c>
      <c r="E1" s="6">
        <v>43556</v>
      </c>
      <c r="F1" s="6">
        <v>43586</v>
      </c>
      <c r="G1" s="6">
        <v>43617</v>
      </c>
      <c r="H1" s="6">
        <v>43647</v>
      </c>
      <c r="I1" s="6">
        <v>43678</v>
      </c>
      <c r="J1" s="6">
        <v>43709</v>
      </c>
      <c r="K1" s="6">
        <v>43739</v>
      </c>
      <c r="L1" s="6">
        <v>43770</v>
      </c>
      <c r="M1" s="7">
        <v>43800</v>
      </c>
      <c r="N1" s="5">
        <v>43831</v>
      </c>
      <c r="O1" s="6">
        <v>43862</v>
      </c>
      <c r="P1" s="6">
        <v>43891</v>
      </c>
      <c r="Q1" s="6">
        <v>43922</v>
      </c>
      <c r="R1" s="6">
        <v>43952</v>
      </c>
      <c r="S1" s="6">
        <v>43983</v>
      </c>
      <c r="T1" s="6">
        <v>44013</v>
      </c>
      <c r="U1" s="6">
        <v>44044</v>
      </c>
      <c r="V1" s="6">
        <v>44075</v>
      </c>
      <c r="W1" s="6">
        <v>44105</v>
      </c>
      <c r="X1" s="6">
        <v>44136</v>
      </c>
      <c r="Y1" s="7">
        <v>44166</v>
      </c>
      <c r="Z1" s="5">
        <v>44197</v>
      </c>
      <c r="AA1" s="6">
        <v>44228</v>
      </c>
      <c r="AB1" s="6">
        <v>44256</v>
      </c>
      <c r="AC1" s="6">
        <v>44287</v>
      </c>
      <c r="AD1" s="6">
        <v>44317</v>
      </c>
      <c r="AE1" s="6">
        <v>44348</v>
      </c>
      <c r="AF1" s="6">
        <v>44378</v>
      </c>
      <c r="AG1" s="6">
        <v>44409</v>
      </c>
      <c r="AH1" s="6">
        <v>44440</v>
      </c>
      <c r="AI1" s="6">
        <v>44470</v>
      </c>
      <c r="AJ1" s="6">
        <v>44501</v>
      </c>
      <c r="AK1" s="7">
        <v>44531</v>
      </c>
      <c r="AL1" s="5">
        <v>44562</v>
      </c>
      <c r="AM1" s="6">
        <v>44593</v>
      </c>
      <c r="AN1" s="6">
        <v>44621</v>
      </c>
      <c r="AO1" s="6">
        <v>44652</v>
      </c>
      <c r="AP1" s="6">
        <v>44682</v>
      </c>
      <c r="AQ1" s="6">
        <v>44713</v>
      </c>
      <c r="AR1" s="6">
        <v>44743</v>
      </c>
      <c r="AS1" s="6">
        <v>44774</v>
      </c>
      <c r="AT1" s="6">
        <v>44805</v>
      </c>
      <c r="AU1" s="6">
        <v>44835</v>
      </c>
      <c r="AV1" s="6">
        <v>44866</v>
      </c>
      <c r="AW1" s="7">
        <v>44896</v>
      </c>
      <c r="AX1" s="5">
        <v>44927</v>
      </c>
      <c r="AY1" s="6">
        <v>44958</v>
      </c>
      <c r="AZ1" s="6">
        <v>44986</v>
      </c>
      <c r="BA1" s="6">
        <v>45017</v>
      </c>
      <c r="BB1" s="6">
        <v>45047</v>
      </c>
      <c r="BC1" s="6">
        <v>45078</v>
      </c>
      <c r="BD1" s="6">
        <v>45108</v>
      </c>
      <c r="BE1" s="6">
        <v>45139</v>
      </c>
      <c r="BF1" s="6">
        <v>45170</v>
      </c>
      <c r="BG1" s="6">
        <v>45200</v>
      </c>
      <c r="BH1" s="6">
        <v>45231</v>
      </c>
      <c r="BI1" s="7">
        <v>45261</v>
      </c>
      <c r="BJ1" s="5">
        <v>45292</v>
      </c>
      <c r="BK1" s="6">
        <v>45323</v>
      </c>
      <c r="BL1" s="6">
        <v>45352</v>
      </c>
      <c r="BM1" s="6">
        <v>45383</v>
      </c>
      <c r="BN1" s="6">
        <v>45413</v>
      </c>
      <c r="BO1" s="6">
        <v>45444</v>
      </c>
      <c r="BP1" s="6">
        <v>45474</v>
      </c>
      <c r="BQ1" s="6">
        <v>45505</v>
      </c>
      <c r="BR1" s="6">
        <v>45536</v>
      </c>
      <c r="BS1" s="6">
        <v>45566</v>
      </c>
      <c r="BT1" s="6">
        <v>45597</v>
      </c>
      <c r="BU1" s="7">
        <v>45627</v>
      </c>
      <c r="BV1" s="5">
        <v>45658</v>
      </c>
      <c r="BW1" s="6">
        <v>45689</v>
      </c>
      <c r="BX1" s="6">
        <v>45717</v>
      </c>
      <c r="BY1" s="6">
        <v>45748</v>
      </c>
      <c r="BZ1" s="6">
        <v>45778</v>
      </c>
      <c r="CA1" s="6">
        <v>45809</v>
      </c>
      <c r="CB1" s="6">
        <v>45839</v>
      </c>
      <c r="CC1" s="6">
        <v>45870</v>
      </c>
      <c r="CD1" s="6">
        <v>45901</v>
      </c>
      <c r="CE1" s="6">
        <v>45931</v>
      </c>
      <c r="CF1" s="6">
        <v>45962</v>
      </c>
      <c r="CG1" s="7">
        <v>45992</v>
      </c>
      <c r="CH1" s="5">
        <v>46023</v>
      </c>
      <c r="CI1" s="6">
        <v>46054</v>
      </c>
      <c r="CJ1" s="6">
        <v>46082</v>
      </c>
      <c r="CK1" s="6">
        <v>46113</v>
      </c>
      <c r="CL1" s="6">
        <v>46143</v>
      </c>
      <c r="CM1" s="6">
        <v>46174</v>
      </c>
      <c r="CN1" s="6">
        <v>46204</v>
      </c>
      <c r="CO1" s="6">
        <v>46235</v>
      </c>
    </row>
    <row r="2" spans="1:93" s="12" customFormat="1" x14ac:dyDescent="0.2">
      <c r="A2" s="9" t="s">
        <v>4</v>
      </c>
      <c r="B2" s="10">
        <v>2279.5812575</v>
      </c>
      <c r="C2" s="10">
        <v>2187.0251383000004</v>
      </c>
      <c r="D2" s="10">
        <v>2118.9151216</v>
      </c>
      <c r="E2" s="10">
        <v>2210.7190000000001</v>
      </c>
      <c r="F2" s="10">
        <v>2300.8989999999999</v>
      </c>
      <c r="G2" s="10">
        <v>2637.1039999999998</v>
      </c>
      <c r="H2" s="10">
        <v>2378.04</v>
      </c>
      <c r="I2" s="10">
        <v>2516.2449999999999</v>
      </c>
      <c r="J2" s="10">
        <v>2779.1990000000001</v>
      </c>
      <c r="K2" s="10">
        <v>2878.7550000000001</v>
      </c>
      <c r="L2" s="10">
        <v>3007.6030000000001</v>
      </c>
      <c r="M2" s="11">
        <v>2843.0259484000003</v>
      </c>
      <c r="N2" s="10">
        <v>3329.2982212999996</v>
      </c>
      <c r="O2" s="10">
        <v>2836.8085677000004</v>
      </c>
      <c r="P2" s="10">
        <v>2600.5882430000001</v>
      </c>
      <c r="Q2" s="10">
        <v>1885.721</v>
      </c>
      <c r="R2" s="10">
        <v>1883.2180000000001</v>
      </c>
      <c r="S2" s="10">
        <v>2352.2779999999998</v>
      </c>
      <c r="T2" s="10">
        <v>2695.0189999999998</v>
      </c>
      <c r="U2" s="10">
        <v>3380.087</v>
      </c>
      <c r="V2" s="10">
        <v>3556.63</v>
      </c>
      <c r="W2" s="10">
        <v>3814.6190000000001</v>
      </c>
      <c r="X2" s="10">
        <v>4503.6559999999999</v>
      </c>
      <c r="Y2" s="11">
        <v>4204.6379999999999</v>
      </c>
      <c r="Z2" s="10">
        <v>4472.8579519000004</v>
      </c>
      <c r="AA2" s="10">
        <v>4376.8676946000005</v>
      </c>
      <c r="AB2" s="10">
        <v>4535.419503000001</v>
      </c>
      <c r="AC2" s="10">
        <v>5477.3220000000001</v>
      </c>
      <c r="AD2" s="10">
        <v>5296.5969999999998</v>
      </c>
      <c r="AE2" s="10">
        <v>5179.4679999999998</v>
      </c>
      <c r="AF2" s="10">
        <v>5734.6030000000001</v>
      </c>
      <c r="AG2" s="10">
        <v>6159.4769564000007</v>
      </c>
      <c r="AH2" s="10">
        <v>6257.8490000000002</v>
      </c>
      <c r="AI2" s="10">
        <v>6229.53</v>
      </c>
      <c r="AJ2" s="10">
        <v>6756.5079999999998</v>
      </c>
      <c r="AK2" s="11">
        <v>6569.0590000000002</v>
      </c>
      <c r="AL2" s="10">
        <v>7354.1132517000005</v>
      </c>
      <c r="AM2" s="10">
        <v>6849.9354542999999</v>
      </c>
      <c r="AN2" s="10">
        <v>6803.3588873999997</v>
      </c>
      <c r="AO2" s="10">
        <v>9128.802421299999</v>
      </c>
      <c r="AP2" s="10">
        <v>8966.8454615999981</v>
      </c>
      <c r="AQ2" s="10">
        <v>9524.5838034999997</v>
      </c>
      <c r="AR2" s="10">
        <v>10092.008576600001</v>
      </c>
      <c r="AS2" s="10">
        <v>11005.72241</v>
      </c>
      <c r="AT2" s="10">
        <v>11831.638398500005</v>
      </c>
      <c r="AU2" s="10">
        <v>12112.749313499997</v>
      </c>
      <c r="AV2" s="10">
        <v>11265.543299000001</v>
      </c>
      <c r="AW2" s="11">
        <v>11266.6102773</v>
      </c>
      <c r="AX2" s="10">
        <v>14443.699861499997</v>
      </c>
      <c r="AY2" s="10">
        <v>13523.367008899999</v>
      </c>
      <c r="AZ2" s="10">
        <v>13170.3126854</v>
      </c>
      <c r="BA2" s="10">
        <v>16445.288869500004</v>
      </c>
      <c r="BB2" s="10">
        <v>16746.107384099996</v>
      </c>
      <c r="BC2" s="10">
        <v>18440.117394800003</v>
      </c>
      <c r="BD2" s="10">
        <v>21956.173915300005</v>
      </c>
      <c r="BE2" s="10">
        <v>22218.939624899998</v>
      </c>
      <c r="BF2" s="10">
        <v>24971.696192700187</v>
      </c>
      <c r="BG2" s="10">
        <v>26589.089161299995</v>
      </c>
      <c r="BH2" s="10">
        <v>29646.842897499995</v>
      </c>
      <c r="BI2" s="11">
        <v>32268.315654599995</v>
      </c>
      <c r="BJ2" s="10">
        <v>34269.594543800013</v>
      </c>
      <c r="BK2" s="10">
        <v>37859.743546199992</v>
      </c>
      <c r="BL2" s="10">
        <v>47154.766323800002</v>
      </c>
      <c r="BM2" s="10">
        <v>49792.868918199994</v>
      </c>
      <c r="BN2" s="10">
        <v>58337.12006049999</v>
      </c>
      <c r="BO2" s="10">
        <v>69648.603748800015</v>
      </c>
      <c r="BP2" s="10">
        <v>65699.369282500018</v>
      </c>
      <c r="BQ2" s="10">
        <v>75659.415322200002</v>
      </c>
      <c r="BR2" s="10">
        <v>83515.321917499998</v>
      </c>
      <c r="BS2" s="10">
        <v>84464.970261900016</v>
      </c>
      <c r="BT2" s="10">
        <v>92552.494683199984</v>
      </c>
      <c r="BU2" s="11">
        <v>89696.233947199988</v>
      </c>
      <c r="BV2" s="10">
        <v>102391.9589945</v>
      </c>
      <c r="BW2" s="10">
        <v>98963.657799599998</v>
      </c>
      <c r="BX2" s="10">
        <v>102402.03380359999</v>
      </c>
      <c r="BY2" s="10">
        <v>115026.90738129998</v>
      </c>
      <c r="BZ2" s="10">
        <v>119582.71594970002</v>
      </c>
      <c r="CA2" s="10">
        <v>120786.95787329999</v>
      </c>
      <c r="CB2" s="10">
        <v>127345.1972238</v>
      </c>
      <c r="CC2" s="10">
        <v>138269.14054669999</v>
      </c>
      <c r="CD2" s="10">
        <v>136040.82162799998</v>
      </c>
      <c r="CE2" s="10">
        <v>133903.27931010001</v>
      </c>
      <c r="CF2" s="10">
        <v>146538.6383473</v>
      </c>
      <c r="CG2" s="11">
        <v>127114.70454519999</v>
      </c>
      <c r="CH2" s="10">
        <v>142812.81268369997</v>
      </c>
      <c r="CI2" s="10">
        <v>126193.6922753</v>
      </c>
      <c r="CJ2" s="10">
        <v>131929.67612239998</v>
      </c>
      <c r="CK2" s="10">
        <v>137090.09295719999</v>
      </c>
      <c r="CL2" s="10">
        <v>141157.44097580001</v>
      </c>
      <c r="CM2" s="10">
        <v>133786.03898509999</v>
      </c>
      <c r="CN2" s="10">
        <v>138562.6014864</v>
      </c>
      <c r="CO2" s="10"/>
    </row>
    <row r="3" spans="1:93" s="12" customFormat="1" x14ac:dyDescent="0.2">
      <c r="A3" s="9" t="s">
        <v>2</v>
      </c>
      <c r="B3" s="10">
        <v>1544.7</v>
      </c>
      <c r="C3" s="10">
        <v>1402.4</v>
      </c>
      <c r="D3" s="10">
        <v>1178.3</v>
      </c>
      <c r="E3" s="10">
        <v>1379.9</v>
      </c>
      <c r="F3" s="10">
        <v>1488.7</v>
      </c>
      <c r="G3" s="10">
        <v>1670.1</v>
      </c>
      <c r="H3" s="10">
        <v>1414.8</v>
      </c>
      <c r="I3" s="10">
        <v>1842.3</v>
      </c>
      <c r="J3" s="10">
        <v>1740.2</v>
      </c>
      <c r="K3" s="10">
        <v>1650.6</v>
      </c>
      <c r="L3" s="10">
        <v>1912.1</v>
      </c>
      <c r="M3" s="11">
        <v>1538.4</v>
      </c>
      <c r="N3" s="10">
        <v>1820.6</v>
      </c>
      <c r="O3" s="10">
        <v>1656.3</v>
      </c>
      <c r="P3" s="10">
        <v>1352.6</v>
      </c>
      <c r="Q3" s="10">
        <v>1171.8</v>
      </c>
      <c r="R3" s="10">
        <v>834.3</v>
      </c>
      <c r="S3" s="10">
        <v>1217</v>
      </c>
      <c r="T3" s="10">
        <v>1588.8</v>
      </c>
      <c r="U3" s="10">
        <v>1741.1</v>
      </c>
      <c r="V3" s="10">
        <v>1832.5</v>
      </c>
      <c r="W3" s="10">
        <v>2195.1999999999998</v>
      </c>
      <c r="X3" s="10">
        <v>2424.9</v>
      </c>
      <c r="Y3" s="11">
        <v>2702.7</v>
      </c>
      <c r="Z3" s="10">
        <v>2405.8000000000002</v>
      </c>
      <c r="AA3" s="10">
        <v>3432.8</v>
      </c>
      <c r="AB3" s="10">
        <v>3080.4</v>
      </c>
      <c r="AC3" s="10">
        <v>4313.3</v>
      </c>
      <c r="AD3" s="10">
        <v>3912.6</v>
      </c>
      <c r="AE3" s="10">
        <v>3434.4</v>
      </c>
      <c r="AF3" s="10">
        <v>4219.3999999999996</v>
      </c>
      <c r="AG3" s="10">
        <v>4847</v>
      </c>
      <c r="AH3" s="10">
        <v>4681.5</v>
      </c>
      <c r="AI3" s="10">
        <v>4936.2</v>
      </c>
      <c r="AJ3" s="10">
        <v>4959.7</v>
      </c>
      <c r="AK3" s="11">
        <v>5681.5</v>
      </c>
      <c r="AL3" s="10">
        <v>5780.5</v>
      </c>
      <c r="AM3" s="10">
        <v>5054.3999999999996</v>
      </c>
      <c r="AN3" s="10">
        <v>4651.8</v>
      </c>
      <c r="AO3" s="10">
        <v>6842.2</v>
      </c>
      <c r="AP3" s="10">
        <v>6811.9</v>
      </c>
      <c r="AQ3" s="10">
        <v>6774.1</v>
      </c>
      <c r="AR3" s="10">
        <v>7741</v>
      </c>
      <c r="AS3" s="10">
        <v>9300.6</v>
      </c>
      <c r="AT3" s="10">
        <v>7823</v>
      </c>
      <c r="AU3" s="10">
        <v>9011</v>
      </c>
      <c r="AV3" s="10">
        <v>9231.2000000000007</v>
      </c>
      <c r="AW3" s="11">
        <v>9129.7000000000007</v>
      </c>
      <c r="AX3" s="10">
        <v>11495.4</v>
      </c>
      <c r="AY3" s="10">
        <v>10902.4</v>
      </c>
      <c r="AZ3" s="10">
        <v>9221.1</v>
      </c>
      <c r="BA3" s="10">
        <v>10950.7</v>
      </c>
      <c r="BB3" s="10">
        <v>8635.5</v>
      </c>
      <c r="BC3" s="10">
        <v>10094</v>
      </c>
      <c r="BD3" s="10">
        <v>10503.4</v>
      </c>
      <c r="BE3" s="10">
        <v>11767.3</v>
      </c>
      <c r="BF3" s="10">
        <v>14170.5</v>
      </c>
      <c r="BG3" s="10">
        <v>14784.9</v>
      </c>
      <c r="BH3" s="10">
        <v>17635</v>
      </c>
      <c r="BI3" s="11">
        <v>17281.2</v>
      </c>
      <c r="BJ3" s="10">
        <v>19347.599999999999</v>
      </c>
      <c r="BK3" s="10">
        <v>20179.5</v>
      </c>
      <c r="BL3" s="10">
        <v>22624.400000000001</v>
      </c>
      <c r="BM3" s="10">
        <v>28874.1</v>
      </c>
      <c r="BN3" s="10">
        <v>32120.6</v>
      </c>
      <c r="BO3" s="10">
        <v>37825.5</v>
      </c>
      <c r="BP3" s="10">
        <v>38542.300000000003</v>
      </c>
      <c r="BQ3" s="10">
        <v>48034.6</v>
      </c>
      <c r="BR3" s="10">
        <v>52150.8</v>
      </c>
      <c r="BS3" s="10">
        <v>48697.599999999999</v>
      </c>
      <c r="BT3" s="10">
        <v>57157.599999999999</v>
      </c>
      <c r="BU3" s="11">
        <v>54391.6</v>
      </c>
      <c r="BV3" s="10">
        <v>66047.3</v>
      </c>
      <c r="BW3" s="10">
        <v>53812.6</v>
      </c>
      <c r="BX3" s="10">
        <v>51470.3</v>
      </c>
      <c r="BY3" s="10">
        <v>57384</v>
      </c>
      <c r="BZ3" s="10">
        <v>64533.9</v>
      </c>
      <c r="CA3" s="10">
        <v>63621.9</v>
      </c>
      <c r="CB3" s="10">
        <v>70159</v>
      </c>
      <c r="CC3" s="10">
        <v>75997.7</v>
      </c>
      <c r="CD3" s="10">
        <v>81975.899999999994</v>
      </c>
      <c r="CE3" s="10">
        <v>77859.199999999997</v>
      </c>
      <c r="CF3" s="10">
        <v>79512.399999999994</v>
      </c>
      <c r="CG3" s="11">
        <v>69953.399999999994</v>
      </c>
      <c r="CH3" s="10">
        <v>92341</v>
      </c>
      <c r="CI3" s="10">
        <v>72461.5</v>
      </c>
      <c r="CJ3" s="10">
        <v>65069.4</v>
      </c>
      <c r="CK3" s="10">
        <v>75230.899999999994</v>
      </c>
      <c r="CL3" s="10">
        <v>76067.600000000006</v>
      </c>
      <c r="CM3" s="10">
        <v>74624.5</v>
      </c>
      <c r="CN3" s="10">
        <v>78671.899999999994</v>
      </c>
      <c r="CO3" s="10">
        <v>81304.100000000006</v>
      </c>
    </row>
    <row r="4" spans="1:93" s="12" customFormat="1" x14ac:dyDescent="0.2">
      <c r="A4" s="9" t="s">
        <v>23</v>
      </c>
      <c r="B4" s="10">
        <v>23.09057713</v>
      </c>
      <c r="C4" s="10">
        <v>27.108077999999999</v>
      </c>
      <c r="D4" s="10">
        <v>26.681002719999999</v>
      </c>
      <c r="E4" s="10">
        <v>32.311999999999998</v>
      </c>
      <c r="F4" s="10">
        <v>31.757531010000001</v>
      </c>
      <c r="G4" s="10">
        <v>26.9044284</v>
      </c>
      <c r="H4" s="10">
        <v>30.747606909999998</v>
      </c>
      <c r="I4" s="10">
        <v>39.165268050000002</v>
      </c>
      <c r="J4" s="10">
        <v>42.208848320000001</v>
      </c>
      <c r="K4" s="10">
        <v>31.93716349</v>
      </c>
      <c r="L4" s="10">
        <v>37.486481549999993</v>
      </c>
      <c r="M4" s="11">
        <v>36.094721990000004</v>
      </c>
      <c r="N4" s="10">
        <v>33.690837559999999</v>
      </c>
      <c r="O4" s="10">
        <v>30.075507030000001</v>
      </c>
      <c r="P4" s="10">
        <v>23.162058920000003</v>
      </c>
      <c r="Q4" s="10">
        <v>41.155288149999997</v>
      </c>
      <c r="R4" s="10">
        <v>22.549725460000001</v>
      </c>
      <c r="S4" s="10">
        <v>25.495986980000001</v>
      </c>
      <c r="T4" s="10">
        <v>21.592876989999997</v>
      </c>
      <c r="U4" s="10">
        <v>42.097249850000004</v>
      </c>
      <c r="V4" s="10">
        <v>33.733437100000003</v>
      </c>
      <c r="W4" s="10">
        <v>33.689933659999994</v>
      </c>
      <c r="X4" s="10">
        <v>36.148407200000001</v>
      </c>
      <c r="Y4" s="11">
        <v>39.209746609999996</v>
      </c>
      <c r="Z4" s="10">
        <v>41.412909329999998</v>
      </c>
      <c r="AA4" s="10">
        <v>57.831787409999997</v>
      </c>
      <c r="AB4" s="10">
        <v>229.33600000000001</v>
      </c>
      <c r="AC4" s="10">
        <v>70.341999999999999</v>
      </c>
      <c r="AD4" s="10">
        <v>106.87699563</v>
      </c>
      <c r="AE4" s="10">
        <v>68.948110040000003</v>
      </c>
      <c r="AF4" s="10">
        <v>68.954604869999997</v>
      </c>
      <c r="AG4" s="10">
        <v>78.447750009999993</v>
      </c>
      <c r="AH4" s="10">
        <v>91.929001420000006</v>
      </c>
      <c r="AI4" s="10">
        <v>73.568937620000042</v>
      </c>
      <c r="AJ4" s="10">
        <v>115.02755578000006</v>
      </c>
      <c r="AK4" s="11">
        <v>124.69709570999999</v>
      </c>
      <c r="AL4" s="10">
        <v>68.21718405</v>
      </c>
      <c r="AM4" s="10">
        <v>92.405734110000012</v>
      </c>
      <c r="AN4" s="10">
        <v>149.9072386</v>
      </c>
      <c r="AO4" s="10">
        <v>100.57295736999998</v>
      </c>
      <c r="AP4" s="10">
        <v>116.94419473000005</v>
      </c>
      <c r="AQ4" s="10">
        <v>135.70534023999994</v>
      </c>
      <c r="AR4" s="10">
        <v>110.91092256000002</v>
      </c>
      <c r="AS4" s="10">
        <v>153.71655285999998</v>
      </c>
      <c r="AT4" s="10">
        <v>156.98418431000005</v>
      </c>
      <c r="AU4" s="10">
        <v>137.43061891000002</v>
      </c>
      <c r="AV4" s="10">
        <v>158.34170296000002</v>
      </c>
      <c r="AW4" s="11">
        <v>171.05336929999999</v>
      </c>
      <c r="AX4" s="10">
        <v>277.00113651999999</v>
      </c>
      <c r="AY4" s="10">
        <v>157.94237579999998</v>
      </c>
      <c r="AZ4" s="10">
        <v>198.97135331000004</v>
      </c>
      <c r="BA4" s="10">
        <v>227.53501390999998</v>
      </c>
      <c r="BB4" s="10">
        <v>258.19822842000008</v>
      </c>
      <c r="BC4" s="10">
        <v>309.24469536999982</v>
      </c>
      <c r="BD4" s="10">
        <v>481.73816445000011</v>
      </c>
      <c r="BE4" s="10">
        <v>428.9</v>
      </c>
      <c r="BF4" s="10">
        <v>355.69</v>
      </c>
      <c r="BG4" s="10">
        <v>412.5534045000004</v>
      </c>
      <c r="BH4" s="10">
        <v>870.9513828299996</v>
      </c>
      <c r="BI4" s="11">
        <v>346.7706158699998</v>
      </c>
      <c r="BJ4" s="10">
        <v>728.84168622000004</v>
      </c>
      <c r="BK4" s="10">
        <v>190.61054752999999</v>
      </c>
      <c r="BL4" s="10">
        <v>344.03306328999997</v>
      </c>
      <c r="BM4" s="10">
        <v>471.96229088000001</v>
      </c>
      <c r="BN4" s="10">
        <v>373.04393066</v>
      </c>
      <c r="BO4" s="10">
        <v>337.85323400999999</v>
      </c>
      <c r="BP4" s="10">
        <v>548.02729925999995</v>
      </c>
      <c r="BQ4" s="10">
        <v>531.54400138999995</v>
      </c>
      <c r="BR4" s="10">
        <v>532.80301831999998</v>
      </c>
      <c r="BS4" s="10">
        <v>900.45411990000002</v>
      </c>
      <c r="BT4" s="10">
        <v>535.12594888000001</v>
      </c>
      <c r="BU4" s="11">
        <v>532.89473728000007</v>
      </c>
      <c r="BV4" s="10">
        <v>593.95502668999995</v>
      </c>
      <c r="BW4" s="10">
        <v>394.95457916999999</v>
      </c>
      <c r="BX4" s="10">
        <v>457.21790188</v>
      </c>
      <c r="BY4" s="10">
        <v>1231.8058284000001</v>
      </c>
      <c r="BZ4" s="10">
        <v>579.27731145999996</v>
      </c>
      <c r="CA4" s="10">
        <v>601.56831997999996</v>
      </c>
      <c r="CB4" s="10">
        <v>652.52747373</v>
      </c>
      <c r="CC4" s="10">
        <v>893.95658736999997</v>
      </c>
      <c r="CD4" s="10">
        <v>558.75775456999997</v>
      </c>
      <c r="CE4" s="10">
        <v>606.45686948000002</v>
      </c>
      <c r="CF4" s="10">
        <v>457.96827029000002</v>
      </c>
      <c r="CG4" s="11">
        <v>509.28885657000001</v>
      </c>
      <c r="CH4" s="10">
        <v>553.99611140800005</v>
      </c>
      <c r="CI4" s="10">
        <v>544.05201284999998</v>
      </c>
      <c r="CJ4" s="10">
        <v>507.39831594999998</v>
      </c>
      <c r="CK4" s="10">
        <v>592.46390066000004</v>
      </c>
      <c r="CL4" s="10">
        <v>727.77061905000005</v>
      </c>
      <c r="CM4" s="10">
        <v>669.28857694999999</v>
      </c>
      <c r="CN4" s="10">
        <v>633.31519922999996</v>
      </c>
      <c r="CO4" s="10">
        <v>819.87004354999999</v>
      </c>
    </row>
    <row r="5" spans="1:93" s="12" customFormat="1" x14ac:dyDescent="0.2">
      <c r="A5" s="9" t="s">
        <v>5</v>
      </c>
      <c r="B5" s="10">
        <v>83.763859099999991</v>
      </c>
      <c r="C5" s="10">
        <v>81.704516430000012</v>
      </c>
      <c r="D5" s="10">
        <v>77.766718879999999</v>
      </c>
      <c r="E5" s="10">
        <v>86.846938819999991</v>
      </c>
      <c r="F5" s="10">
        <v>79.142453660000001</v>
      </c>
      <c r="G5" s="10">
        <v>77.693657790000003</v>
      </c>
      <c r="H5" s="10">
        <v>84.591176660000002</v>
      </c>
      <c r="I5" s="10">
        <v>102.21581533</v>
      </c>
      <c r="J5" s="10">
        <v>94.218808280000005</v>
      </c>
      <c r="K5" s="10">
        <v>86.318378390000007</v>
      </c>
      <c r="L5" s="10">
        <v>93.726234009999999</v>
      </c>
      <c r="M5" s="11">
        <v>93.726234009999999</v>
      </c>
      <c r="N5" s="10">
        <v>107.92870574</v>
      </c>
      <c r="O5" s="10">
        <v>105.35912973000001</v>
      </c>
      <c r="P5" s="10">
        <v>110.75640815999999</v>
      </c>
      <c r="Q5" s="10">
        <v>74.488085549999994</v>
      </c>
      <c r="R5" s="10">
        <v>74.150308680000009</v>
      </c>
      <c r="S5" s="10">
        <v>86.474718330000002</v>
      </c>
      <c r="T5" s="10">
        <v>101.4806222</v>
      </c>
      <c r="U5" s="10">
        <v>154.12065928000001</v>
      </c>
      <c r="V5" s="10">
        <v>135.15749402</v>
      </c>
      <c r="W5" s="10">
        <v>146.24249811999999</v>
      </c>
      <c r="X5" s="10">
        <v>151.55204222</v>
      </c>
      <c r="Y5" s="11">
        <v>149.40487256</v>
      </c>
      <c r="Z5" s="10">
        <v>170.79920281</v>
      </c>
      <c r="AA5" s="10">
        <v>201.88574481000001</v>
      </c>
      <c r="AB5" s="10">
        <v>166.29132796000002</v>
      </c>
      <c r="AC5" s="10">
        <v>220.76204396</v>
      </c>
      <c r="AD5" s="10">
        <v>190.94775709000001</v>
      </c>
      <c r="AE5" s="10">
        <v>190.91256350999998</v>
      </c>
      <c r="AF5" s="10">
        <v>212.24259240999999</v>
      </c>
      <c r="AG5" s="10">
        <v>281.21782917000002</v>
      </c>
      <c r="AH5" s="10">
        <v>255.98959274000001</v>
      </c>
      <c r="AI5" s="10">
        <v>273.45364217000002</v>
      </c>
      <c r="AJ5" s="10">
        <v>270.32096731000001</v>
      </c>
      <c r="AK5" s="11">
        <v>278.59978914999999</v>
      </c>
      <c r="AL5" s="10">
        <v>352.71289812999999</v>
      </c>
      <c r="AM5" s="10">
        <v>295.73514689000001</v>
      </c>
      <c r="AN5" s="10">
        <v>264.22780051000001</v>
      </c>
      <c r="AO5" s="10">
        <v>332.36393500999998</v>
      </c>
      <c r="AP5" s="10">
        <v>330.14883254</v>
      </c>
      <c r="AQ5" s="10">
        <v>361.4993255</v>
      </c>
      <c r="AR5" s="10">
        <v>408.27929343</v>
      </c>
      <c r="AS5" s="10">
        <v>493.73754477</v>
      </c>
      <c r="AT5" s="10">
        <v>464.20235093999997</v>
      </c>
      <c r="AU5" s="10">
        <v>482.03342142000002</v>
      </c>
      <c r="AV5" s="10">
        <v>509.05340137000002</v>
      </c>
      <c r="AW5" s="11">
        <v>478.50308625000002</v>
      </c>
      <c r="AX5" s="10">
        <v>647.09947751000004</v>
      </c>
      <c r="AY5" s="10">
        <v>561.79260590000001</v>
      </c>
      <c r="AZ5" s="10">
        <v>642.03680652999992</v>
      </c>
      <c r="BA5" s="10">
        <v>714.79436551999993</v>
      </c>
      <c r="BB5" s="10">
        <v>707.85966920999999</v>
      </c>
      <c r="BC5" s="10">
        <v>742.77555283000004</v>
      </c>
      <c r="BD5" s="10">
        <v>860.48522699</v>
      </c>
      <c r="BE5" s="10">
        <v>1009.33515301</v>
      </c>
      <c r="BF5" s="10">
        <v>937.84789276000004</v>
      </c>
      <c r="BG5" s="10">
        <v>1029.7191366</v>
      </c>
      <c r="BH5" s="10">
        <v>1073.72643713</v>
      </c>
      <c r="BI5" s="11">
        <v>1075.5527749600001</v>
      </c>
      <c r="BJ5" s="10">
        <v>1361.05483774</v>
      </c>
      <c r="BK5" s="10">
        <v>1243.1654308</v>
      </c>
      <c r="BL5" s="10">
        <v>1609.1301826099998</v>
      </c>
      <c r="BM5" s="10">
        <v>1654.6220856500001</v>
      </c>
      <c r="BN5" s="10">
        <v>1873.63645058</v>
      </c>
      <c r="BO5" s="10">
        <v>2325.9099784599998</v>
      </c>
      <c r="BP5" s="10">
        <v>2853.7470063299997</v>
      </c>
      <c r="BQ5" s="10">
        <v>2999.9038670500004</v>
      </c>
      <c r="BR5" s="10">
        <v>3311.3547538600001</v>
      </c>
      <c r="BS5" s="10">
        <v>3381.40455845</v>
      </c>
      <c r="BT5" s="10">
        <v>3724.3836087199998</v>
      </c>
      <c r="BU5" s="11">
        <v>3493.3856422499998</v>
      </c>
      <c r="BV5" s="10">
        <v>4834.8316076000001</v>
      </c>
      <c r="BW5" s="10">
        <v>4171.3503148700001</v>
      </c>
      <c r="BX5" s="10">
        <v>4277.5493942100002</v>
      </c>
      <c r="BY5" s="10">
        <v>4185.63197683</v>
      </c>
      <c r="BZ5" s="10">
        <v>4319.8134322799997</v>
      </c>
      <c r="CA5" s="10">
        <v>4335.0167260899998</v>
      </c>
      <c r="CB5" s="10">
        <v>5022.2292470200009</v>
      </c>
      <c r="CC5" s="10">
        <v>5328.6052544799995</v>
      </c>
      <c r="CD5" s="10">
        <v>5018.64313907</v>
      </c>
      <c r="CE5" s="10">
        <v>4844.4858242399996</v>
      </c>
      <c r="CF5" s="10">
        <v>4753.69265722</v>
      </c>
      <c r="CG5" s="11">
        <v>4372.89725017</v>
      </c>
      <c r="CH5" s="10">
        <v>5943.7805058000004</v>
      </c>
      <c r="CI5" s="10">
        <v>5335.2329370200005</v>
      </c>
      <c r="CJ5" s="10">
        <v>5405.1640762899997</v>
      </c>
      <c r="CK5" s="10">
        <v>5595.6245499899997</v>
      </c>
      <c r="CL5" s="10">
        <v>5438.5773086899999</v>
      </c>
      <c r="CM5" s="10">
        <v>5532.3617746</v>
      </c>
      <c r="CN5" s="10">
        <v>5987.1095757900002</v>
      </c>
      <c r="CO5" s="10">
        <v>6053.2149678799997</v>
      </c>
    </row>
    <row r="6" spans="1:93" s="12" customFormat="1" x14ac:dyDescent="0.2">
      <c r="A6" s="9" t="s">
        <v>26</v>
      </c>
      <c r="B6" s="10">
        <v>132</v>
      </c>
      <c r="C6" s="10">
        <v>134</v>
      </c>
      <c r="D6" s="10">
        <v>136</v>
      </c>
      <c r="E6" s="10">
        <v>130</v>
      </c>
      <c r="F6" s="10">
        <v>143</v>
      </c>
      <c r="G6" s="10">
        <v>164</v>
      </c>
      <c r="H6" s="10">
        <v>160</v>
      </c>
      <c r="I6" s="10">
        <v>159</v>
      </c>
      <c r="J6" s="10">
        <v>154</v>
      </c>
      <c r="K6" s="10">
        <v>154</v>
      </c>
      <c r="L6" s="10">
        <v>209</v>
      </c>
      <c r="M6" s="11">
        <v>176</v>
      </c>
      <c r="N6" s="10">
        <v>231</v>
      </c>
      <c r="O6" s="10">
        <v>187</v>
      </c>
      <c r="P6" s="10">
        <v>165</v>
      </c>
      <c r="Q6" s="10">
        <v>104</v>
      </c>
      <c r="R6" s="10">
        <v>120</v>
      </c>
      <c r="S6" s="10">
        <v>144</v>
      </c>
      <c r="T6" s="10">
        <v>171</v>
      </c>
      <c r="U6" s="10">
        <v>201</v>
      </c>
      <c r="V6" s="10">
        <v>204</v>
      </c>
      <c r="W6" s="10">
        <v>202</v>
      </c>
      <c r="X6" s="10">
        <v>239</v>
      </c>
      <c r="Y6" s="11">
        <v>222</v>
      </c>
      <c r="Z6" s="10">
        <v>287</v>
      </c>
      <c r="AA6" s="10">
        <v>261</v>
      </c>
      <c r="AB6" s="10">
        <v>284</v>
      </c>
      <c r="AC6" s="10">
        <v>296</v>
      </c>
      <c r="AD6" s="10">
        <v>295</v>
      </c>
      <c r="AE6" s="10">
        <v>338</v>
      </c>
      <c r="AF6" s="10">
        <v>308</v>
      </c>
      <c r="AG6" s="10">
        <v>350</v>
      </c>
      <c r="AH6" s="10">
        <v>384</v>
      </c>
      <c r="AI6" s="10">
        <v>364</v>
      </c>
      <c r="AJ6" s="10">
        <v>375</v>
      </c>
      <c r="AK6" s="11">
        <v>396</v>
      </c>
      <c r="AL6" s="10">
        <v>429</v>
      </c>
      <c r="AM6" s="10">
        <v>424</v>
      </c>
      <c r="AN6" s="10">
        <v>391</v>
      </c>
      <c r="AO6" s="10">
        <v>523</v>
      </c>
      <c r="AP6" s="10">
        <v>494</v>
      </c>
      <c r="AQ6" s="10">
        <v>542</v>
      </c>
      <c r="AR6" s="10">
        <v>608</v>
      </c>
      <c r="AS6" s="10">
        <v>588</v>
      </c>
      <c r="AT6" s="10">
        <v>650</v>
      </c>
      <c r="AU6" s="10">
        <v>613</v>
      </c>
      <c r="AV6" s="10">
        <v>658</v>
      </c>
      <c r="AW6" s="11">
        <v>673</v>
      </c>
      <c r="AX6" s="10">
        <v>832</v>
      </c>
      <c r="AY6" s="10">
        <v>889</v>
      </c>
      <c r="AZ6" s="10">
        <v>861</v>
      </c>
      <c r="BA6" s="10">
        <v>1021</v>
      </c>
      <c r="BB6" s="10">
        <v>1005</v>
      </c>
      <c r="BC6" s="10">
        <v>1150</v>
      </c>
      <c r="BD6" s="10">
        <v>1418</v>
      </c>
      <c r="BE6" s="10">
        <v>1469</v>
      </c>
      <c r="BF6" s="10">
        <v>1570</v>
      </c>
      <c r="BG6" s="10">
        <v>1689</v>
      </c>
      <c r="BH6" s="10">
        <v>1774</v>
      </c>
      <c r="BI6" s="11">
        <v>1913</v>
      </c>
      <c r="BJ6" s="10">
        <v>2086</v>
      </c>
      <c r="BK6" s="10">
        <v>2164</v>
      </c>
      <c r="BL6" s="10">
        <v>2755</v>
      </c>
      <c r="BM6" s="10">
        <v>2876</v>
      </c>
      <c r="BN6" s="10">
        <v>3179</v>
      </c>
      <c r="BO6" s="10">
        <v>4395</v>
      </c>
      <c r="BP6" s="10">
        <v>4216</v>
      </c>
      <c r="BQ6" s="10">
        <v>6177</v>
      </c>
      <c r="BR6" s="10">
        <v>5396</v>
      </c>
      <c r="BS6" s="10">
        <v>5441</v>
      </c>
      <c r="BT6" s="10">
        <v>5929</v>
      </c>
      <c r="BU6" s="11">
        <v>5732</v>
      </c>
      <c r="BV6" s="10">
        <v>6303</v>
      </c>
      <c r="BW6" s="10">
        <v>6331</v>
      </c>
      <c r="BX6" s="10">
        <v>6562</v>
      </c>
      <c r="BY6" s="10">
        <v>7069</v>
      </c>
      <c r="BZ6" s="10">
        <v>7117</v>
      </c>
      <c r="CA6" s="10">
        <v>7964</v>
      </c>
      <c r="CB6" s="10">
        <v>7133</v>
      </c>
      <c r="CC6" s="10">
        <v>8068</v>
      </c>
      <c r="CD6" s="10">
        <v>7734</v>
      </c>
      <c r="CE6" s="10">
        <v>7765</v>
      </c>
      <c r="CF6" s="10">
        <v>8306</v>
      </c>
      <c r="CG6" s="11">
        <v>6780</v>
      </c>
      <c r="CH6" s="10">
        <v>17088</v>
      </c>
      <c r="CI6" s="10">
        <v>7999</v>
      </c>
      <c r="CJ6" s="10">
        <v>17134</v>
      </c>
      <c r="CK6" s="10">
        <v>10640</v>
      </c>
      <c r="CL6" s="10">
        <v>8178</v>
      </c>
      <c r="CM6" s="10">
        <v>8711</v>
      </c>
      <c r="CN6" s="10">
        <v>8040</v>
      </c>
      <c r="CO6" s="10">
        <v>9238</v>
      </c>
    </row>
    <row r="7" spans="1:93" s="12" customFormat="1" x14ac:dyDescent="0.2">
      <c r="A7" s="9" t="s">
        <v>6</v>
      </c>
      <c r="B7" s="10">
        <v>556.76102300000002</v>
      </c>
      <c r="C7" s="10">
        <v>591.72111700000005</v>
      </c>
      <c r="D7" s="10">
        <v>591.91902900000002</v>
      </c>
      <c r="E7" s="10">
        <v>649.940246</v>
      </c>
      <c r="F7" s="10">
        <v>721.14429800000005</v>
      </c>
      <c r="G7" s="10">
        <v>635.48091899999997</v>
      </c>
      <c r="H7" s="10">
        <v>667.82143799999994</v>
      </c>
      <c r="I7" s="10">
        <v>750.59966499999996</v>
      </c>
      <c r="J7" s="10">
        <v>771.83746900000006</v>
      </c>
      <c r="K7" s="10">
        <v>888.86580400000003</v>
      </c>
      <c r="L7" s="10">
        <v>794.25022999999999</v>
      </c>
      <c r="M7" s="11">
        <v>956.782737</v>
      </c>
      <c r="N7" s="10">
        <v>853.23733200000004</v>
      </c>
      <c r="O7" s="10">
        <v>705.74970800000006</v>
      </c>
      <c r="P7" s="10">
        <v>858.29617199999996</v>
      </c>
      <c r="Q7" s="10">
        <v>530.88210400000003</v>
      </c>
      <c r="R7" s="10">
        <v>506.69081599999998</v>
      </c>
      <c r="S7" s="10">
        <v>889.17058099999997</v>
      </c>
      <c r="T7" s="10">
        <v>979.29077700000005</v>
      </c>
      <c r="U7" s="10">
        <v>1047.189063</v>
      </c>
      <c r="V7" s="10">
        <v>1097.2349899999999</v>
      </c>
      <c r="W7" s="10">
        <v>1328.750282</v>
      </c>
      <c r="X7" s="10">
        <v>1250.487302</v>
      </c>
      <c r="Y7" s="11">
        <v>1305.6538250000001</v>
      </c>
      <c r="Z7" s="10">
        <v>1357.6759300000001</v>
      </c>
      <c r="AA7" s="10">
        <v>1227.687715</v>
      </c>
      <c r="AB7" s="10">
        <v>1377.9061099999999</v>
      </c>
      <c r="AC7" s="10">
        <v>1678.851979</v>
      </c>
      <c r="AD7" s="10">
        <v>1500.438144</v>
      </c>
      <c r="AE7" s="10">
        <v>1517.91913</v>
      </c>
      <c r="AF7" s="10">
        <v>1713.5586209999999</v>
      </c>
      <c r="AG7" s="10">
        <v>2100.0374459999998</v>
      </c>
      <c r="AH7" s="10">
        <v>1658.1931549999999</v>
      </c>
      <c r="AI7" s="10">
        <v>2202.8707770000001</v>
      </c>
      <c r="AJ7" s="10">
        <v>2104.4946479999999</v>
      </c>
      <c r="AK7" s="11">
        <v>2340.235236</v>
      </c>
      <c r="AL7" s="10">
        <v>2048.5255320000001</v>
      </c>
      <c r="AM7" s="10">
        <v>1910.207527</v>
      </c>
      <c r="AN7" s="10">
        <v>2488.919402</v>
      </c>
      <c r="AO7" s="10">
        <v>2370.1035230000002</v>
      </c>
      <c r="AP7" s="10">
        <v>2470.9127570000001</v>
      </c>
      <c r="AQ7" s="10">
        <v>2641.5235349999998</v>
      </c>
      <c r="AR7" s="10">
        <v>3006.7588009999999</v>
      </c>
      <c r="AS7" s="10">
        <v>3421.0709499999998</v>
      </c>
      <c r="AT7" s="10">
        <v>3261.6718700000001</v>
      </c>
      <c r="AU7" s="10">
        <v>3098.5196179999998</v>
      </c>
      <c r="AV7" s="10">
        <v>3566.853302</v>
      </c>
      <c r="AW7" s="11">
        <v>3650.5566020000001</v>
      </c>
      <c r="AX7" s="10">
        <v>3582.3103900000001</v>
      </c>
      <c r="AY7" s="10">
        <v>3600.2862420000001</v>
      </c>
      <c r="AZ7" s="10">
        <v>3791.6990110000002</v>
      </c>
      <c r="BA7" s="10">
        <v>3733.9437079999998</v>
      </c>
      <c r="BB7" s="10">
        <v>4358.1272120000003</v>
      </c>
      <c r="BC7" s="10">
        <v>4587.0335690000002</v>
      </c>
      <c r="BD7" s="10">
        <v>4695.0100750000001</v>
      </c>
      <c r="BE7" s="10">
        <v>6466.8282300000001</v>
      </c>
      <c r="BF7" s="10">
        <v>6071.3115989999997</v>
      </c>
      <c r="BG7" s="10">
        <v>7086.940114</v>
      </c>
      <c r="BH7" s="10">
        <v>7493.297826</v>
      </c>
      <c r="BI7" s="11">
        <v>8033.3223939999998</v>
      </c>
      <c r="BJ7" s="10">
        <v>9474.2120670000004</v>
      </c>
      <c r="BK7" s="10">
        <v>9395.63796</v>
      </c>
      <c r="BL7" s="10">
        <v>10897.37506</v>
      </c>
      <c r="BM7" s="10">
        <v>11820.485919000001</v>
      </c>
      <c r="BN7" s="10">
        <v>14245.009846999999</v>
      </c>
      <c r="BO7" s="10">
        <v>15415.532583</v>
      </c>
      <c r="BP7" s="10">
        <v>17260.871364999999</v>
      </c>
      <c r="BQ7" s="10">
        <v>23768.512183999999</v>
      </c>
      <c r="BR7" s="10">
        <v>20070.667216999998</v>
      </c>
      <c r="BS7" s="10">
        <v>21267.662475000001</v>
      </c>
      <c r="BT7" s="10">
        <v>24008.375448999999</v>
      </c>
      <c r="BU7" s="11">
        <v>22943.848551999999</v>
      </c>
      <c r="BV7" s="10">
        <v>29049.267787000001</v>
      </c>
      <c r="BW7" s="10">
        <v>22444.966586999999</v>
      </c>
      <c r="BX7" s="10">
        <v>26273.157856000002</v>
      </c>
      <c r="BY7" s="10">
        <v>27850.851074999999</v>
      </c>
      <c r="BZ7" s="10">
        <v>30068.188816000002</v>
      </c>
      <c r="CA7" s="10">
        <v>33315.837718000002</v>
      </c>
      <c r="CB7" s="10">
        <v>32790.452064999998</v>
      </c>
      <c r="CC7" s="10">
        <v>35264.211109999997</v>
      </c>
      <c r="CD7" s="10">
        <v>35381.362562000002</v>
      </c>
      <c r="CE7" s="10">
        <v>35499.607456999998</v>
      </c>
      <c r="CF7" s="10">
        <v>25934.810502</v>
      </c>
      <c r="CG7" s="11">
        <v>38323.740575000003</v>
      </c>
      <c r="CH7" s="10">
        <v>37032.355723000001</v>
      </c>
      <c r="CI7" s="10">
        <v>28749.031814000002</v>
      </c>
      <c r="CJ7" s="10">
        <v>36500.946557000003</v>
      </c>
      <c r="CK7" s="10">
        <v>37133.048051999998</v>
      </c>
      <c r="CL7" s="10">
        <v>35946.673101</v>
      </c>
      <c r="CM7" s="10">
        <v>35887.831259999999</v>
      </c>
      <c r="CN7" s="10">
        <v>39324.686779000003</v>
      </c>
      <c r="CO7" s="10">
        <v>38401.058881999998</v>
      </c>
    </row>
    <row r="8" spans="1:93" s="12" customFormat="1" x14ac:dyDescent="0.2">
      <c r="A8" s="9" t="s">
        <v>52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1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24</v>
      </c>
      <c r="V8" s="10" t="s">
        <v>24</v>
      </c>
      <c r="W8" s="10" t="s">
        <v>24</v>
      </c>
      <c r="X8" s="10" t="s">
        <v>24</v>
      </c>
      <c r="Y8" s="11" t="s">
        <v>24</v>
      </c>
      <c r="Z8" s="10" t="s">
        <v>24</v>
      </c>
      <c r="AA8" s="10" t="s">
        <v>24</v>
      </c>
      <c r="AB8" s="10" t="s">
        <v>24</v>
      </c>
      <c r="AC8" s="10" t="s">
        <v>24</v>
      </c>
      <c r="AD8" s="10" t="s">
        <v>24</v>
      </c>
      <c r="AE8" s="10" t="s">
        <v>24</v>
      </c>
      <c r="AF8" s="10" t="s">
        <v>24</v>
      </c>
      <c r="AG8" s="10" t="s">
        <v>24</v>
      </c>
      <c r="AH8" s="10" t="s">
        <v>24</v>
      </c>
      <c r="AI8" s="10" t="s">
        <v>24</v>
      </c>
      <c r="AJ8" s="10" t="s">
        <v>24</v>
      </c>
      <c r="AK8" s="11" t="s">
        <v>24</v>
      </c>
      <c r="AL8" s="10" t="s">
        <v>24</v>
      </c>
      <c r="AM8" s="10" t="s">
        <v>24</v>
      </c>
      <c r="AN8" s="10" t="s">
        <v>24</v>
      </c>
      <c r="AO8" s="10" t="s">
        <v>24</v>
      </c>
      <c r="AP8" s="10" t="s">
        <v>24</v>
      </c>
      <c r="AQ8" s="10" t="s">
        <v>24</v>
      </c>
      <c r="AR8" s="10" t="s">
        <v>24</v>
      </c>
      <c r="AS8" s="10" t="s">
        <v>24</v>
      </c>
      <c r="AT8" s="10" t="s">
        <v>24</v>
      </c>
      <c r="AU8" s="10" t="s">
        <v>24</v>
      </c>
      <c r="AV8" s="10" t="s">
        <v>24</v>
      </c>
      <c r="AW8" s="11" t="s">
        <v>24</v>
      </c>
      <c r="AX8" s="10" t="s">
        <v>24</v>
      </c>
      <c r="AY8" s="10" t="s">
        <v>24</v>
      </c>
      <c r="AZ8" s="10" t="s">
        <v>24</v>
      </c>
      <c r="BA8" s="10" t="s">
        <v>24</v>
      </c>
      <c r="BB8" s="10" t="s">
        <v>24</v>
      </c>
      <c r="BC8" s="10" t="s">
        <v>24</v>
      </c>
      <c r="BD8" s="10" t="s">
        <v>24</v>
      </c>
      <c r="BE8" s="10" t="s">
        <v>24</v>
      </c>
      <c r="BF8" s="10" t="s">
        <v>24</v>
      </c>
      <c r="BG8" s="10" t="s">
        <v>24</v>
      </c>
      <c r="BH8" s="10" t="s">
        <v>24</v>
      </c>
      <c r="BI8" s="11" t="s">
        <v>24</v>
      </c>
      <c r="BJ8" s="10">
        <v>1284.996564473</v>
      </c>
      <c r="BK8" s="10">
        <v>1371.0765540300001</v>
      </c>
      <c r="BL8" s="10">
        <v>1649.1800268000006</v>
      </c>
      <c r="BM8" s="10">
        <v>1621.0483164899997</v>
      </c>
      <c r="BN8" s="10">
        <v>2017.4233990599998</v>
      </c>
      <c r="BO8" s="10">
        <v>2467.8750366200006</v>
      </c>
      <c r="BP8" s="10">
        <v>2272.4306275700005</v>
      </c>
      <c r="BQ8" s="10">
        <v>3102.0733859899997</v>
      </c>
      <c r="BR8" s="10">
        <v>3135.2176907800008</v>
      </c>
      <c r="BS8" s="10">
        <v>3570.5515605199998</v>
      </c>
      <c r="BT8" s="10">
        <v>3640.3828772500005</v>
      </c>
      <c r="BU8" s="11">
        <v>3476.82</v>
      </c>
      <c r="BV8" s="10">
        <v>3946.97</v>
      </c>
      <c r="BW8" s="10">
        <v>3861.0335808700011</v>
      </c>
      <c r="BX8" s="10">
        <v>4051.8804634800003</v>
      </c>
      <c r="BY8" s="10">
        <v>4285.4131467699999</v>
      </c>
      <c r="BZ8" s="10">
        <v>4028.1673575399996</v>
      </c>
      <c r="CA8" s="10">
        <v>4640.6912325900003</v>
      </c>
      <c r="CB8" s="10">
        <v>4329.2506610599994</v>
      </c>
      <c r="CC8" s="10">
        <v>4999.8749096999991</v>
      </c>
      <c r="CD8" s="10">
        <v>4988.7573884800004</v>
      </c>
      <c r="CE8" s="10">
        <v>4480.5252302200024</v>
      </c>
      <c r="CF8" s="10">
        <v>3985.854751249999</v>
      </c>
      <c r="CG8" s="11">
        <v>4265.3538495100001</v>
      </c>
      <c r="CH8" s="10">
        <v>4915.4024398299989</v>
      </c>
      <c r="CI8" s="10">
        <v>4318.3559355500001</v>
      </c>
      <c r="CJ8" s="10">
        <v>4713.0984334900004</v>
      </c>
      <c r="CK8" s="10">
        <v>5472.3684357300008</v>
      </c>
      <c r="CL8" s="10">
        <v>5230.0257664900009</v>
      </c>
      <c r="CM8" s="10">
        <v>5774.1289889100008</v>
      </c>
      <c r="CN8" s="10">
        <v>4995.8224046300011</v>
      </c>
      <c r="CO8" s="10"/>
    </row>
    <row r="9" spans="1:93" s="12" customFormat="1" x14ac:dyDescent="0.2">
      <c r="A9" s="9" t="s">
        <v>7</v>
      </c>
      <c r="B9" s="10">
        <v>136.38894999999999</v>
      </c>
      <c r="C9" s="10">
        <v>102.713476</v>
      </c>
      <c r="D9" s="10">
        <v>110.156569</v>
      </c>
      <c r="E9" s="10">
        <v>108.633582</v>
      </c>
      <c r="F9" s="10">
        <v>138.28179499999999</v>
      </c>
      <c r="G9" s="10">
        <v>120.95927500000001</v>
      </c>
      <c r="H9" s="10">
        <v>138.02661000000001</v>
      </c>
      <c r="I9" s="10">
        <v>158.856966</v>
      </c>
      <c r="J9" s="10">
        <v>147.381325</v>
      </c>
      <c r="K9" s="10">
        <v>160.20245499999999</v>
      </c>
      <c r="L9" s="10">
        <v>137.20996400000001</v>
      </c>
      <c r="M9" s="11">
        <v>144.70250899999999</v>
      </c>
      <c r="N9" s="10">
        <v>210.19790699999999</v>
      </c>
      <c r="O9" s="10">
        <v>151.80762999999999</v>
      </c>
      <c r="P9" s="10">
        <v>133.16668799999999</v>
      </c>
      <c r="Q9" s="10">
        <v>124.398031</v>
      </c>
      <c r="R9" s="10">
        <v>128.70950300000001</v>
      </c>
      <c r="S9" s="10">
        <v>180.94577799999999</v>
      </c>
      <c r="T9" s="10">
        <v>187.20594299999999</v>
      </c>
      <c r="U9" s="10">
        <v>229.76196899999999</v>
      </c>
      <c r="V9" s="10">
        <v>227.695311</v>
      </c>
      <c r="W9" s="10">
        <v>241.53388000000001</v>
      </c>
      <c r="X9" s="10">
        <v>245.05933999999999</v>
      </c>
      <c r="Y9" s="11">
        <v>245.65982299999999</v>
      </c>
      <c r="Z9" s="10">
        <v>257.97327799999999</v>
      </c>
      <c r="AA9" s="10">
        <v>275.77958899999999</v>
      </c>
      <c r="AB9" s="10">
        <v>271.07495499999999</v>
      </c>
      <c r="AC9" s="10">
        <v>358.59</v>
      </c>
      <c r="AD9" s="10">
        <v>296.749866</v>
      </c>
      <c r="AE9" s="10">
        <v>326.906453</v>
      </c>
      <c r="AF9" s="10">
        <v>320.77716099999998</v>
      </c>
      <c r="AG9" s="10">
        <v>391.36362200000002</v>
      </c>
      <c r="AH9" s="10">
        <v>395.459723</v>
      </c>
      <c r="AI9" s="10">
        <v>380.93922099999997</v>
      </c>
      <c r="AJ9" s="10">
        <v>420.53804500000001</v>
      </c>
      <c r="AK9" s="11">
        <v>371.98220500000002</v>
      </c>
      <c r="AL9" s="10">
        <v>445.88715300000001</v>
      </c>
      <c r="AM9" s="10">
        <v>423.22556100000003</v>
      </c>
      <c r="AN9" s="10">
        <v>437.92382800000001</v>
      </c>
      <c r="AO9" s="10">
        <v>564.34230300000002</v>
      </c>
      <c r="AP9" s="10">
        <v>619.93303800000001</v>
      </c>
      <c r="AQ9" s="10">
        <v>610.34665800000005</v>
      </c>
      <c r="AR9" s="10">
        <v>700.56271600000002</v>
      </c>
      <c r="AS9" s="10">
        <v>747.75789599999996</v>
      </c>
      <c r="AT9" s="10">
        <v>658.27283199999999</v>
      </c>
      <c r="AU9" s="10">
        <v>637.23223700000005</v>
      </c>
      <c r="AV9" s="10">
        <v>769.66241600000001</v>
      </c>
      <c r="AW9" s="11">
        <v>706.725414</v>
      </c>
      <c r="AX9" s="10">
        <v>948.63308700000005</v>
      </c>
      <c r="AY9" s="10">
        <v>788.29805099999999</v>
      </c>
      <c r="AZ9" s="10">
        <v>889.49227299999995</v>
      </c>
      <c r="BA9" s="10">
        <v>1025.6057940000001</v>
      </c>
      <c r="BB9" s="10">
        <v>1116.340522</v>
      </c>
      <c r="BC9" s="10">
        <v>1115.493387</v>
      </c>
      <c r="BD9" s="10">
        <v>1346.339522</v>
      </c>
      <c r="BE9" s="10">
        <v>1540.972039</v>
      </c>
      <c r="BF9" s="10">
        <v>1430.282927</v>
      </c>
      <c r="BG9" s="10">
        <v>1743.372582</v>
      </c>
      <c r="BH9" s="10">
        <v>2170.0468729999998</v>
      </c>
      <c r="BI9" s="11">
        <v>1820.4841039999999</v>
      </c>
      <c r="BJ9" s="10">
        <v>1888.509718</v>
      </c>
      <c r="BK9" s="10">
        <v>2061.8463830000001</v>
      </c>
      <c r="BL9" s="10">
        <v>2868.8124539999999</v>
      </c>
      <c r="BM9" s="10">
        <v>2923.6295719999998</v>
      </c>
      <c r="BN9" s="10">
        <v>3333.5551350000001</v>
      </c>
      <c r="BO9" s="10">
        <v>4444.396581</v>
      </c>
      <c r="BP9" s="10">
        <v>4891.8739580000001</v>
      </c>
      <c r="BQ9" s="10">
        <v>5021.490675</v>
      </c>
      <c r="BR9" s="10">
        <v>5143.4268929999998</v>
      </c>
      <c r="BS9" s="10">
        <v>5400.8661769999999</v>
      </c>
      <c r="BT9" s="10">
        <v>5805.0544559999998</v>
      </c>
      <c r="BU9" s="11">
        <v>5650.4752870000002</v>
      </c>
      <c r="BV9" s="10">
        <v>6591.9141250000002</v>
      </c>
      <c r="BW9" s="10">
        <v>5668.047611</v>
      </c>
      <c r="BX9" s="10">
        <v>5990.563854</v>
      </c>
      <c r="BY9" s="10">
        <v>7025.18174</v>
      </c>
      <c r="BZ9" s="10">
        <v>6165.6761560000004</v>
      </c>
      <c r="CA9" s="10">
        <v>7524.7902260000001</v>
      </c>
      <c r="CB9" s="10">
        <v>7582.8404300000002</v>
      </c>
      <c r="CC9" s="10">
        <v>7811.8439660000004</v>
      </c>
      <c r="CD9" s="10">
        <v>7763.6978259999996</v>
      </c>
      <c r="CE9" s="10">
        <v>7358.1804970000003</v>
      </c>
      <c r="CF9" s="10">
        <v>7973.1847459999999</v>
      </c>
      <c r="CG9" s="11">
        <v>7204.3102959999997</v>
      </c>
      <c r="CH9" s="10">
        <v>7977.8713470000002</v>
      </c>
      <c r="CI9" s="10">
        <v>7878.7647729999999</v>
      </c>
      <c r="CJ9" s="10">
        <v>7724.07413</v>
      </c>
      <c r="CK9" s="10">
        <v>8470.7446309999996</v>
      </c>
      <c r="CL9" s="10">
        <v>8489.0193810000001</v>
      </c>
      <c r="CM9" s="10">
        <v>8977.6139500000008</v>
      </c>
      <c r="CN9" s="10">
        <v>9105.5015789999998</v>
      </c>
      <c r="CO9" s="10">
        <v>10145.339539000001</v>
      </c>
    </row>
    <row r="10" spans="1:93" s="12" customFormat="1" x14ac:dyDescent="0.2">
      <c r="A10" s="9" t="s">
        <v>8</v>
      </c>
      <c r="B10" s="10">
        <v>26.902190530000002</v>
      </c>
      <c r="C10" s="10">
        <v>50.453552209999998</v>
      </c>
      <c r="D10" s="10">
        <v>32.915595269999997</v>
      </c>
      <c r="E10" s="10">
        <v>33.503066940000004</v>
      </c>
      <c r="F10" s="10">
        <v>54.576962259999995</v>
      </c>
      <c r="G10" s="10">
        <v>33.124902399999996</v>
      </c>
      <c r="H10" s="10">
        <v>33.481269320000003</v>
      </c>
      <c r="I10" s="10">
        <v>43.505585619999998</v>
      </c>
      <c r="J10" s="10">
        <v>39.914327119999996</v>
      </c>
      <c r="K10" s="10">
        <v>36.601256429999999</v>
      </c>
      <c r="L10" s="10">
        <v>36.216976259999996</v>
      </c>
      <c r="M10" s="11">
        <v>36.78418198</v>
      </c>
      <c r="N10" s="10">
        <v>32.089625589999997</v>
      </c>
      <c r="O10" s="10">
        <v>48.124110180000002</v>
      </c>
      <c r="P10" s="10">
        <v>37.673781429999998</v>
      </c>
      <c r="Q10" s="10">
        <v>25.108972559999998</v>
      </c>
      <c r="R10" s="10">
        <v>21.64448441</v>
      </c>
      <c r="S10" s="10">
        <v>34.825796859999997</v>
      </c>
      <c r="T10" s="10">
        <v>39.897155270000006</v>
      </c>
      <c r="U10" s="10">
        <v>46.262450530000002</v>
      </c>
      <c r="V10" s="10">
        <v>51.703150659999999</v>
      </c>
      <c r="W10" s="10">
        <v>57.248406289999998</v>
      </c>
      <c r="X10" s="10">
        <v>54.053517119999995</v>
      </c>
      <c r="Y10" s="11">
        <v>53.375863619999997</v>
      </c>
      <c r="Z10" s="10">
        <v>52.85030502</v>
      </c>
      <c r="AA10" s="10">
        <v>64.931559680000007</v>
      </c>
      <c r="AB10" s="10">
        <v>63.452461169999999</v>
      </c>
      <c r="AC10" s="10">
        <v>78.48</v>
      </c>
      <c r="AD10" s="10">
        <v>76.739483840000005</v>
      </c>
      <c r="AE10" s="10">
        <v>68.133895890000005</v>
      </c>
      <c r="AF10" s="10">
        <v>74.605929219999993</v>
      </c>
      <c r="AG10" s="10">
        <v>83.55153098000001</v>
      </c>
      <c r="AH10" s="10">
        <v>102.69877226999999</v>
      </c>
      <c r="AI10" s="10">
        <v>110.51980282</v>
      </c>
      <c r="AJ10" s="10">
        <v>98.421510339999998</v>
      </c>
      <c r="AK10" s="11">
        <v>95.568952549999992</v>
      </c>
      <c r="AL10" s="10">
        <v>87.237890019999995</v>
      </c>
      <c r="AM10" s="10">
        <v>112.67587162000001</v>
      </c>
      <c r="AN10" s="10">
        <v>126.55053235</v>
      </c>
      <c r="AO10" s="10">
        <v>125.38385914</v>
      </c>
      <c r="AP10" s="10">
        <v>135.14059775999999</v>
      </c>
      <c r="AQ10" s="10">
        <v>149.91125513999998</v>
      </c>
      <c r="AR10" s="10">
        <v>150.13309713999999</v>
      </c>
      <c r="AS10" s="10">
        <v>209.14352112</v>
      </c>
      <c r="AT10" s="10">
        <v>220.21053088999997</v>
      </c>
      <c r="AU10" s="10">
        <v>203.93425780999999</v>
      </c>
      <c r="AV10" s="10">
        <v>191.93281402000002</v>
      </c>
      <c r="AW10" s="11">
        <v>242.64448625999998</v>
      </c>
      <c r="AX10" s="10">
        <v>182.51956140999999</v>
      </c>
      <c r="AY10" s="10">
        <v>264.73502007000002</v>
      </c>
      <c r="AZ10" s="10">
        <v>294.52144541000001</v>
      </c>
      <c r="BA10" s="10">
        <v>306.86924501999999</v>
      </c>
      <c r="BB10" s="10">
        <v>282.57655499000003</v>
      </c>
      <c r="BC10" s="10">
        <v>300.2216583</v>
      </c>
      <c r="BD10" s="10">
        <v>306.42028039999997</v>
      </c>
      <c r="BE10" s="10">
        <v>382.81168008999998</v>
      </c>
      <c r="BF10" s="10">
        <v>413.17702389999999</v>
      </c>
      <c r="BG10" s="10">
        <v>401.99617425999998</v>
      </c>
      <c r="BH10" s="10">
        <v>420.67693961999998</v>
      </c>
      <c r="BI10" s="11">
        <v>415.05796650000002</v>
      </c>
      <c r="BJ10" s="10">
        <v>341.28697849999998</v>
      </c>
      <c r="BK10" s="10">
        <v>499.01086242000002</v>
      </c>
      <c r="BL10" s="10">
        <v>540.41663825000001</v>
      </c>
      <c r="BM10" s="10">
        <v>587.17231613000001</v>
      </c>
      <c r="BN10" s="10">
        <v>707.98374822000005</v>
      </c>
      <c r="BO10" s="10">
        <v>747.58820401000003</v>
      </c>
      <c r="BP10" s="10">
        <v>759.6405671</v>
      </c>
      <c r="BQ10" s="10">
        <v>1123.7683789</v>
      </c>
      <c r="BR10" s="10">
        <v>1191.9800679500001</v>
      </c>
      <c r="BS10" s="10">
        <v>1212.3789648699999</v>
      </c>
      <c r="BT10" s="10">
        <v>1194.9042374100002</v>
      </c>
      <c r="BU10" s="11">
        <v>1357.47164527</v>
      </c>
      <c r="BV10" s="10">
        <v>1002.52911334</v>
      </c>
      <c r="BW10" s="10">
        <v>1641.23315699</v>
      </c>
      <c r="BX10" s="10">
        <v>1514.6412827300001</v>
      </c>
      <c r="BY10" s="10">
        <v>1609.7092612700001</v>
      </c>
      <c r="BZ10" s="10">
        <v>1791.1072486400001</v>
      </c>
      <c r="CA10" s="10">
        <v>1778.92352347</v>
      </c>
      <c r="CB10" s="10">
        <v>1838.0915718699998</v>
      </c>
      <c r="CC10" s="10">
        <v>1954.4974448199998</v>
      </c>
      <c r="CD10" s="10">
        <v>1884.2475933000001</v>
      </c>
      <c r="CE10" s="10">
        <v>1647.3739055000001</v>
      </c>
      <c r="CF10" s="10">
        <v>1576.2725288699999</v>
      </c>
      <c r="CG10" s="11">
        <v>1507.83682518</v>
      </c>
      <c r="CH10" s="10">
        <v>1403.0895588599999</v>
      </c>
      <c r="CI10" s="10">
        <v>1740.00762568</v>
      </c>
      <c r="CJ10" s="10">
        <v>1783.3641901300002</v>
      </c>
      <c r="CK10" s="10">
        <v>2135.09714549</v>
      </c>
      <c r="CL10" s="10">
        <v>1629.6164373800002</v>
      </c>
      <c r="CM10" s="10">
        <v>1781.80455719</v>
      </c>
      <c r="CN10" s="10">
        <v>1700.64816976</v>
      </c>
      <c r="CO10" s="10">
        <v>2331.3206335599998</v>
      </c>
    </row>
    <row r="11" spans="1:93" s="12" customFormat="1" x14ac:dyDescent="0.2">
      <c r="A11" s="9" t="s">
        <v>9</v>
      </c>
      <c r="B11" s="10">
        <v>51.923000000000002</v>
      </c>
      <c r="C11" s="10">
        <v>51.372999999999998</v>
      </c>
      <c r="D11" s="10">
        <v>52.451000000000001</v>
      </c>
      <c r="E11" s="10">
        <v>59.188000000000002</v>
      </c>
      <c r="F11" s="10">
        <v>50.715000000000003</v>
      </c>
      <c r="G11" s="10">
        <v>50.112000000000002</v>
      </c>
      <c r="H11" s="10">
        <v>57.954999999999998</v>
      </c>
      <c r="I11" s="10">
        <v>113.88</v>
      </c>
      <c r="J11" s="10">
        <v>73.251999999999995</v>
      </c>
      <c r="K11" s="10">
        <v>66.837999999999994</v>
      </c>
      <c r="L11" s="10">
        <v>54.42</v>
      </c>
      <c r="M11" s="11">
        <v>55.933999999999997</v>
      </c>
      <c r="N11" s="10">
        <v>57.841000000000001</v>
      </c>
      <c r="O11" s="10">
        <v>67.531999999999996</v>
      </c>
      <c r="P11" s="10">
        <v>51.905000000000001</v>
      </c>
      <c r="Q11" s="10">
        <v>26.103999999999999</v>
      </c>
      <c r="R11" s="10">
        <v>45.948</v>
      </c>
      <c r="S11" s="10">
        <v>49.280999999999999</v>
      </c>
      <c r="T11" s="10">
        <v>41.831000000000003</v>
      </c>
      <c r="U11" s="10">
        <v>58.709000000000003</v>
      </c>
      <c r="V11" s="10">
        <v>51.715000000000003</v>
      </c>
      <c r="W11" s="10">
        <v>89.085999999999999</v>
      </c>
      <c r="X11" s="10">
        <v>79.688999999999993</v>
      </c>
      <c r="Y11" s="11">
        <v>92.803237999999993</v>
      </c>
      <c r="Z11" s="10">
        <v>93.652000000000001</v>
      </c>
      <c r="AA11" s="10">
        <v>117.002</v>
      </c>
      <c r="AB11" s="10">
        <v>136.54387800000001</v>
      </c>
      <c r="AC11" s="10">
        <v>130.06956</v>
      </c>
      <c r="AD11" s="10">
        <v>128.74965399999999</v>
      </c>
      <c r="AE11" s="10">
        <v>134.56304299999999</v>
      </c>
      <c r="AF11" s="10">
        <v>139.391662</v>
      </c>
      <c r="AG11" s="10">
        <v>153.27509900000001</v>
      </c>
      <c r="AH11" s="10">
        <v>156.55422899999999</v>
      </c>
      <c r="AI11" s="10">
        <v>135.16482999999999</v>
      </c>
      <c r="AJ11" s="10">
        <v>136.724807</v>
      </c>
      <c r="AK11" s="11">
        <v>154.491941</v>
      </c>
      <c r="AL11" s="10">
        <v>144.524214</v>
      </c>
      <c r="AM11" s="10">
        <v>145.830679</v>
      </c>
      <c r="AN11" s="10">
        <v>185.32309000000001</v>
      </c>
      <c r="AO11" s="10">
        <v>170.912947</v>
      </c>
      <c r="AP11" s="10">
        <v>179.403741</v>
      </c>
      <c r="AQ11" s="10">
        <v>185.05330900000001</v>
      </c>
      <c r="AR11" s="10">
        <v>219.07062300000001</v>
      </c>
      <c r="AS11" s="10">
        <v>294.43553200000002</v>
      </c>
      <c r="AT11" s="10">
        <v>220.16611</v>
      </c>
      <c r="AU11" s="10">
        <v>221.74328</v>
      </c>
      <c r="AV11" s="10">
        <v>264.38105300000001</v>
      </c>
      <c r="AW11" s="11">
        <v>252.33431200000001</v>
      </c>
      <c r="AX11" s="10">
        <v>358.36593499999998</v>
      </c>
      <c r="AY11" s="10">
        <v>352.33713299999999</v>
      </c>
      <c r="AZ11" s="10">
        <v>329.59595200000001</v>
      </c>
      <c r="BA11" s="10">
        <v>368.59185000000002</v>
      </c>
      <c r="BB11" s="10">
        <v>440.63581900000003</v>
      </c>
      <c r="BC11" s="10">
        <v>404.46941099999998</v>
      </c>
      <c r="BD11" s="10">
        <v>430.12422900000001</v>
      </c>
      <c r="BE11" s="10">
        <v>605.71815000000004</v>
      </c>
      <c r="BF11" s="10">
        <v>520.84823100000006</v>
      </c>
      <c r="BG11" s="10">
        <v>620.42326500000001</v>
      </c>
      <c r="BH11" s="10">
        <v>613.85869000000002</v>
      </c>
      <c r="BI11" s="11">
        <v>615.44730400000003</v>
      </c>
      <c r="BJ11" s="10">
        <v>1018.267879</v>
      </c>
      <c r="BK11" s="10">
        <v>862.13128800000004</v>
      </c>
      <c r="BL11" s="10">
        <v>881.31340499999999</v>
      </c>
      <c r="BM11" s="10">
        <v>978.36036000000001</v>
      </c>
      <c r="BN11" s="10">
        <v>1132.448304</v>
      </c>
      <c r="BO11" s="10">
        <v>1451.1304459999999</v>
      </c>
      <c r="BP11" s="10">
        <v>1944.840696</v>
      </c>
      <c r="BQ11" s="10">
        <v>1667.7094970000001</v>
      </c>
      <c r="BR11" s="10">
        <v>2000.1494319999999</v>
      </c>
      <c r="BS11" s="10">
        <v>1920.768221</v>
      </c>
      <c r="BT11" s="10">
        <v>2002.5802839999999</v>
      </c>
      <c r="BU11" s="11">
        <v>2054.0887339999999</v>
      </c>
      <c r="BV11" s="10">
        <v>2684.541577</v>
      </c>
      <c r="BW11" s="10">
        <v>2260.3941500000001</v>
      </c>
      <c r="BX11" s="10">
        <v>2058.6100879999999</v>
      </c>
      <c r="BY11" s="10">
        <v>2841.188071</v>
      </c>
      <c r="BZ11" s="10">
        <v>2562.3681499999998</v>
      </c>
      <c r="CA11" s="10">
        <v>2842.3566270000001</v>
      </c>
      <c r="CB11" s="10">
        <v>3089.2269040000001</v>
      </c>
      <c r="CC11" s="10">
        <v>2905.701626</v>
      </c>
      <c r="CD11" s="10">
        <v>2912.3244850000001</v>
      </c>
      <c r="CE11" s="10">
        <v>3001.0414649999998</v>
      </c>
      <c r="CF11" s="10">
        <v>2823.637424</v>
      </c>
      <c r="CG11" s="11">
        <v>2591.83806</v>
      </c>
      <c r="CH11" s="10">
        <v>3251.2271129999999</v>
      </c>
      <c r="CI11" s="10">
        <v>3386.0452690000002</v>
      </c>
      <c r="CJ11" s="10">
        <v>2791.7642639999999</v>
      </c>
      <c r="CK11" s="10">
        <v>3144.524758</v>
      </c>
      <c r="CL11" s="10">
        <v>2945.8765330000001</v>
      </c>
      <c r="CM11" s="10">
        <v>3149.1528669999998</v>
      </c>
      <c r="CN11" s="10">
        <v>3185.9767889999998</v>
      </c>
      <c r="CO11" s="10">
        <v>3551.0697279999999</v>
      </c>
    </row>
    <row r="12" spans="1:93" s="12" customFormat="1" x14ac:dyDescent="0.2">
      <c r="A12" s="9" t="s">
        <v>27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1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  <c r="X12" s="10" t="s">
        <v>24</v>
      </c>
      <c r="Y12" s="11" t="s">
        <v>24</v>
      </c>
      <c r="Z12" s="10" t="s">
        <v>24</v>
      </c>
      <c r="AA12" s="10" t="s">
        <v>24</v>
      </c>
      <c r="AB12" s="10" t="s">
        <v>24</v>
      </c>
      <c r="AC12" s="10" t="s">
        <v>24</v>
      </c>
      <c r="AD12" s="10" t="s">
        <v>24</v>
      </c>
      <c r="AE12" s="10" t="s">
        <v>24</v>
      </c>
      <c r="AF12" s="10" t="s">
        <v>24</v>
      </c>
      <c r="AG12" s="10" t="s">
        <v>24</v>
      </c>
      <c r="AH12" s="10" t="s">
        <v>24</v>
      </c>
      <c r="AI12" s="10" t="s">
        <v>24</v>
      </c>
      <c r="AJ12" s="10" t="s">
        <v>24</v>
      </c>
      <c r="AK12" s="11" t="s">
        <v>24</v>
      </c>
      <c r="AL12" s="10" t="s">
        <v>24</v>
      </c>
      <c r="AM12" s="10" t="s">
        <v>24</v>
      </c>
      <c r="AN12" s="10" t="s">
        <v>24</v>
      </c>
      <c r="AO12" s="10" t="s">
        <v>24</v>
      </c>
      <c r="AP12" s="10" t="s">
        <v>24</v>
      </c>
      <c r="AQ12" s="10" t="s">
        <v>24</v>
      </c>
      <c r="AR12" s="10" t="s">
        <v>24</v>
      </c>
      <c r="AS12" s="10" t="s">
        <v>24</v>
      </c>
      <c r="AT12" s="10" t="s">
        <v>24</v>
      </c>
      <c r="AU12" s="10" t="s">
        <v>24</v>
      </c>
      <c r="AV12" s="10" t="s">
        <v>24</v>
      </c>
      <c r="AW12" s="11" t="s">
        <v>24</v>
      </c>
      <c r="AX12" s="10" t="s">
        <v>24</v>
      </c>
      <c r="AY12" s="10" t="s">
        <v>24</v>
      </c>
      <c r="AZ12" s="10" t="s">
        <v>24</v>
      </c>
      <c r="BA12" s="10" t="s">
        <v>24</v>
      </c>
      <c r="BB12" s="10" t="s">
        <v>24</v>
      </c>
      <c r="BC12" s="10" t="s">
        <v>24</v>
      </c>
      <c r="BD12" s="10" t="s">
        <v>24</v>
      </c>
      <c r="BE12" s="10" t="s">
        <v>24</v>
      </c>
      <c r="BF12" s="10" t="s">
        <v>24</v>
      </c>
      <c r="BG12" s="10" t="s">
        <v>24</v>
      </c>
      <c r="BH12" s="10" t="s">
        <v>24</v>
      </c>
      <c r="BI12" s="11" t="s">
        <v>24</v>
      </c>
      <c r="BJ12" s="10">
        <v>1022.64000543</v>
      </c>
      <c r="BK12" s="10">
        <v>941.51974523000001</v>
      </c>
      <c r="BL12" s="10">
        <v>944.79025449999995</v>
      </c>
      <c r="BM12" s="10">
        <v>982.98956992000001</v>
      </c>
      <c r="BN12" s="10">
        <v>1596.97091897</v>
      </c>
      <c r="BO12" s="10">
        <v>1360.8704559300002</v>
      </c>
      <c r="BP12" s="10">
        <v>1881.1953314899999</v>
      </c>
      <c r="BQ12" s="10">
        <v>2032.49973041</v>
      </c>
      <c r="BR12" s="10">
        <v>1893.6454533699998</v>
      </c>
      <c r="BS12" s="10">
        <v>1899.94201477</v>
      </c>
      <c r="BT12" s="10">
        <v>1958.09478294</v>
      </c>
      <c r="BU12" s="11">
        <v>1951.4099318700028</v>
      </c>
      <c r="BV12" s="10">
        <v>2551.10964689</v>
      </c>
      <c r="BW12" s="10">
        <v>2185.7797057799999</v>
      </c>
      <c r="BX12" s="10">
        <v>2425.2765850699998</v>
      </c>
      <c r="BY12" s="10">
        <v>2596.7813434200002</v>
      </c>
      <c r="BZ12" s="10">
        <v>2993.6409336000002</v>
      </c>
      <c r="CA12" s="10">
        <v>2661.4131409500001</v>
      </c>
      <c r="CB12" s="10">
        <v>2967.7951199499998</v>
      </c>
      <c r="CC12" s="10">
        <v>3044.5384494599998</v>
      </c>
      <c r="CD12" s="10">
        <v>3607.17081207</v>
      </c>
      <c r="CE12" s="10">
        <v>3389.5728973599998</v>
      </c>
      <c r="CF12" s="10">
        <v>2689.8684309800001</v>
      </c>
      <c r="CG12" s="11">
        <v>3621.5374927399998</v>
      </c>
      <c r="CH12" s="10">
        <v>3580.9758353100001</v>
      </c>
      <c r="CI12" s="10">
        <v>1230.14905099</v>
      </c>
      <c r="CJ12" s="10">
        <v>4872.3583484499995</v>
      </c>
      <c r="CK12" s="10">
        <v>3827.6782799699999</v>
      </c>
      <c r="CL12" s="10">
        <v>4262.9150645999998</v>
      </c>
      <c r="CM12" s="10">
        <v>3604.4976781</v>
      </c>
      <c r="CN12" s="10">
        <v>4862.5669665200003</v>
      </c>
      <c r="CO12" s="10"/>
    </row>
    <row r="13" spans="1:93" s="12" customFormat="1" x14ac:dyDescent="0.2">
      <c r="A13" s="9" t="s">
        <v>10</v>
      </c>
      <c r="B13" s="10">
        <v>21.436415789999998</v>
      </c>
      <c r="C13" s="10">
        <v>24.061743969999998</v>
      </c>
      <c r="D13" s="10">
        <v>26.359563170000001</v>
      </c>
      <c r="E13" s="10">
        <v>23.531405299999999</v>
      </c>
      <c r="F13" s="10">
        <v>24.08491596</v>
      </c>
      <c r="G13" s="10">
        <v>24.031579280000003</v>
      </c>
      <c r="H13" s="10">
        <v>25.59374227</v>
      </c>
      <c r="I13" s="10">
        <v>31.178865769999998</v>
      </c>
      <c r="J13" s="10">
        <v>22.270706789999998</v>
      </c>
      <c r="K13" s="10">
        <v>24.248585079999998</v>
      </c>
      <c r="L13" s="10">
        <v>24.713912950000001</v>
      </c>
      <c r="M13" s="11">
        <v>26.538617460000069</v>
      </c>
      <c r="N13" s="10">
        <v>24.773233449999999</v>
      </c>
      <c r="O13" s="10">
        <v>31.34105031</v>
      </c>
      <c r="P13" s="10">
        <v>29.9657673</v>
      </c>
      <c r="Q13" s="10">
        <v>21.322141640000002</v>
      </c>
      <c r="R13" s="10">
        <v>19.086334910000001</v>
      </c>
      <c r="S13" s="10">
        <v>25.34065975</v>
      </c>
      <c r="T13" s="10">
        <v>34.209404429999999</v>
      </c>
      <c r="U13" s="10">
        <v>30.99157593</v>
      </c>
      <c r="V13" s="10">
        <v>30.206113980000001</v>
      </c>
      <c r="W13" s="10">
        <v>30.342450969999998</v>
      </c>
      <c r="X13" s="10">
        <v>37.277320450000005</v>
      </c>
      <c r="Y13" s="11">
        <v>39.102591409999995</v>
      </c>
      <c r="Z13" s="10">
        <v>42.205739189999996</v>
      </c>
      <c r="AA13" s="10">
        <v>46.060719369999994</v>
      </c>
      <c r="AB13" s="10">
        <v>44.675863840000005</v>
      </c>
      <c r="AC13" s="10">
        <v>59.35</v>
      </c>
      <c r="AD13" s="10">
        <v>50.99640394</v>
      </c>
      <c r="AE13" s="10">
        <v>52.974159360000002</v>
      </c>
      <c r="AF13" s="10">
        <v>51.282604979999995</v>
      </c>
      <c r="AG13" s="10">
        <v>64.473271830000002</v>
      </c>
      <c r="AH13" s="10">
        <v>61.358457229999999</v>
      </c>
      <c r="AI13" s="10">
        <v>62.575310880000004</v>
      </c>
      <c r="AJ13" s="10">
        <v>72.310740480000007</v>
      </c>
      <c r="AK13" s="11">
        <v>70.299398690000004</v>
      </c>
      <c r="AL13" s="10">
        <v>70.024247709999997</v>
      </c>
      <c r="AM13" s="10">
        <v>69.125427760000008</v>
      </c>
      <c r="AN13" s="10">
        <v>89.87194912999999</v>
      </c>
      <c r="AO13" s="10">
        <v>96.066756439999992</v>
      </c>
      <c r="AP13" s="10">
        <v>83.937751300000002</v>
      </c>
      <c r="AQ13" s="10">
        <v>98.636278250000004</v>
      </c>
      <c r="AR13" s="10">
        <v>92.016053790000001</v>
      </c>
      <c r="AS13" s="10">
        <v>112.10882384999999</v>
      </c>
      <c r="AT13" s="10">
        <v>111.00078035999999</v>
      </c>
      <c r="AU13" s="10">
        <v>113.94189143999999</v>
      </c>
      <c r="AV13" s="10">
        <v>117.32545569</v>
      </c>
      <c r="AW13" s="11">
        <v>116.68481381999999</v>
      </c>
      <c r="AX13" s="10">
        <v>110.63714504000001</v>
      </c>
      <c r="AY13" s="10">
        <v>133.86726586</v>
      </c>
      <c r="AZ13" s="10">
        <v>160.64949983000002</v>
      </c>
      <c r="BA13" s="10">
        <v>168.21653061000001</v>
      </c>
      <c r="BB13" s="10">
        <v>163.87752738</v>
      </c>
      <c r="BC13" s="10">
        <v>175.71699873</v>
      </c>
      <c r="BD13" s="10">
        <v>180.71330863</v>
      </c>
      <c r="BE13" s="10">
        <v>254.32210603000001</v>
      </c>
      <c r="BF13" s="10">
        <v>271.50252675000002</v>
      </c>
      <c r="BG13" s="10">
        <v>257.28873161000001</v>
      </c>
      <c r="BH13" s="10">
        <v>250.64601847</v>
      </c>
      <c r="BI13" s="11">
        <v>280.76950756999997</v>
      </c>
      <c r="BJ13" s="10">
        <v>238.48076963</v>
      </c>
      <c r="BK13" s="10">
        <v>309.58033329</v>
      </c>
      <c r="BL13" s="10">
        <v>312.48146379000002</v>
      </c>
      <c r="BM13" s="10">
        <v>408.98600630999999</v>
      </c>
      <c r="BN13" s="10">
        <v>467.94545038000001</v>
      </c>
      <c r="BO13" s="10">
        <v>566.81080964</v>
      </c>
      <c r="BP13" s="10">
        <v>1001.16668227</v>
      </c>
      <c r="BQ13" s="10">
        <v>1242.25654568</v>
      </c>
      <c r="BR13" s="10">
        <v>1186.8322084900001</v>
      </c>
      <c r="BS13" s="10">
        <v>1755.6828925299999</v>
      </c>
      <c r="BT13" s="10">
        <v>1512.6732652599999</v>
      </c>
      <c r="BU13" s="11">
        <v>1390.4620390600001</v>
      </c>
      <c r="BV13" s="10">
        <v>1371.8890341400001</v>
      </c>
      <c r="BW13" s="10">
        <v>1582.9316474500001</v>
      </c>
      <c r="BX13" s="10">
        <v>1670.5100691700002</v>
      </c>
      <c r="BY13" s="10">
        <v>1746.80519007</v>
      </c>
      <c r="BZ13" s="10">
        <v>1855.0436703299999</v>
      </c>
      <c r="CA13" s="10">
        <v>1661.5245343499998</v>
      </c>
      <c r="CB13" s="10">
        <v>1758.7201824799999</v>
      </c>
      <c r="CC13" s="10">
        <v>2011.0572656700001</v>
      </c>
      <c r="CD13" s="10">
        <v>1876.3462956600001</v>
      </c>
      <c r="CE13" s="10">
        <v>1932.6709815300001</v>
      </c>
      <c r="CF13" s="10">
        <v>1709.9037285100001</v>
      </c>
      <c r="CG13" s="11">
        <v>1570.6318646500001</v>
      </c>
      <c r="CH13" s="10">
        <v>1771.6987450699999</v>
      </c>
      <c r="CI13" s="10">
        <v>1727.1182721500002</v>
      </c>
      <c r="CJ13" s="10">
        <v>1828.84987125</v>
      </c>
      <c r="CK13" s="10">
        <v>1844.3229499399999</v>
      </c>
      <c r="CL13" s="10">
        <v>2124.40867183</v>
      </c>
      <c r="CM13" s="10">
        <v>2332.0518847899998</v>
      </c>
      <c r="CN13" s="10">
        <v>1913.6695691500001</v>
      </c>
      <c r="CO13" s="10">
        <v>2068.4390171199998</v>
      </c>
    </row>
    <row r="14" spans="1:93" s="12" customFormat="1" x14ac:dyDescent="0.2">
      <c r="A14" s="9" t="s">
        <v>11</v>
      </c>
      <c r="B14" s="10">
        <v>271.98220800000001</v>
      </c>
      <c r="C14" s="10">
        <v>281.057412</v>
      </c>
      <c r="D14" s="10">
        <v>335.10284899999999</v>
      </c>
      <c r="E14" s="10">
        <v>275.37776100000002</v>
      </c>
      <c r="F14" s="10">
        <v>326.34978899999999</v>
      </c>
      <c r="G14" s="10">
        <v>302.12258600000001</v>
      </c>
      <c r="H14" s="10">
        <v>299.875292</v>
      </c>
      <c r="I14" s="10">
        <v>376.97612700000002</v>
      </c>
      <c r="J14" s="10">
        <v>397.29035299999998</v>
      </c>
      <c r="K14" s="10">
        <v>340.03486900000001</v>
      </c>
      <c r="L14" s="10">
        <v>330.91693800000002</v>
      </c>
      <c r="M14" s="11">
        <v>351.41355299999998</v>
      </c>
      <c r="N14" s="10">
        <v>329.89066700000001</v>
      </c>
      <c r="O14" s="10">
        <v>356.18705299999999</v>
      </c>
      <c r="P14" s="10">
        <v>342.51788499999998</v>
      </c>
      <c r="Q14" s="10">
        <v>137.598726</v>
      </c>
      <c r="R14" s="10">
        <v>237.47517300000001</v>
      </c>
      <c r="S14" s="10">
        <v>356.414626</v>
      </c>
      <c r="T14" s="10">
        <v>382.50113399999998</v>
      </c>
      <c r="U14" s="10">
        <v>533.23406199999999</v>
      </c>
      <c r="V14" s="10">
        <v>411.30270000000002</v>
      </c>
      <c r="W14" s="10">
        <v>466.05521299999998</v>
      </c>
      <c r="X14" s="10">
        <v>504.13533100000001</v>
      </c>
      <c r="Y14" s="11">
        <v>491.89661999999998</v>
      </c>
      <c r="Z14" s="10">
        <v>590.04010200000005</v>
      </c>
      <c r="AA14" s="10">
        <v>601.68563099999994</v>
      </c>
      <c r="AB14" s="10">
        <v>665.51230199999998</v>
      </c>
      <c r="AC14" s="10">
        <v>608.37</v>
      </c>
      <c r="AD14" s="10">
        <v>608.94902400000001</v>
      </c>
      <c r="AE14" s="10">
        <v>576.05846799999995</v>
      </c>
      <c r="AF14" s="10">
        <v>771.56466399999999</v>
      </c>
      <c r="AG14" s="10">
        <v>692.83255699999995</v>
      </c>
      <c r="AH14" s="10">
        <v>751.38589999999999</v>
      </c>
      <c r="AI14" s="10">
        <v>770.83229900000003</v>
      </c>
      <c r="AJ14" s="10">
        <v>800.82758799999999</v>
      </c>
      <c r="AK14" s="11">
        <v>994.08437400000003</v>
      </c>
      <c r="AL14" s="10">
        <v>960.63334699999996</v>
      </c>
      <c r="AM14" s="10">
        <v>851.88400799999999</v>
      </c>
      <c r="AN14" s="10">
        <v>810.31473600000004</v>
      </c>
      <c r="AO14" s="10">
        <v>952.29651458000001</v>
      </c>
      <c r="AP14" s="10">
        <v>1083.5508359999999</v>
      </c>
      <c r="AQ14" s="10">
        <v>1081.4154639999999</v>
      </c>
      <c r="AR14" s="10">
        <v>1138.253314</v>
      </c>
      <c r="AS14" s="10">
        <v>1189.0810260000001</v>
      </c>
      <c r="AT14" s="10">
        <v>1405.6617570000001</v>
      </c>
      <c r="AU14" s="10">
        <v>1211.5726560000001</v>
      </c>
      <c r="AV14" s="10">
        <v>1275.325918</v>
      </c>
      <c r="AW14" s="11">
        <v>1419.6582599999999</v>
      </c>
      <c r="AX14" s="10">
        <v>1738.6784</v>
      </c>
      <c r="AY14" s="10">
        <v>1300.1503949999999</v>
      </c>
      <c r="AZ14" s="10">
        <v>1478.2516700000001</v>
      </c>
      <c r="BA14" s="10">
        <v>1769.5870769999999</v>
      </c>
      <c r="BB14" s="10">
        <v>1989.4917760000001</v>
      </c>
      <c r="BC14" s="10">
        <v>2074.4390520000002</v>
      </c>
      <c r="BD14" s="10">
        <v>2025.3966330000001</v>
      </c>
      <c r="BE14" s="10">
        <v>2713.1445749999998</v>
      </c>
      <c r="BF14" s="10">
        <v>2467.6645429999999</v>
      </c>
      <c r="BG14" s="10">
        <v>2677.7465830000001</v>
      </c>
      <c r="BH14" s="10">
        <v>3150.24683</v>
      </c>
      <c r="BI14" s="11">
        <v>3453.5771639999998</v>
      </c>
      <c r="BJ14" s="10">
        <v>3906.7875260000001</v>
      </c>
      <c r="BK14" s="10">
        <v>3237.05143</v>
      </c>
      <c r="BL14" s="10">
        <v>3947.2604120000001</v>
      </c>
      <c r="BM14" s="10">
        <v>4416.0423220000002</v>
      </c>
      <c r="BN14" s="10">
        <v>5823.2795560000004</v>
      </c>
      <c r="BO14" s="10">
        <v>7969.4635699999999</v>
      </c>
      <c r="BP14" s="10">
        <v>7076.6898469999996</v>
      </c>
      <c r="BQ14" s="10">
        <v>9431.2974020000001</v>
      </c>
      <c r="BR14" s="10">
        <v>8519.8001920000006</v>
      </c>
      <c r="BS14" s="10">
        <v>9141.6783159999995</v>
      </c>
      <c r="BT14" s="10">
        <v>11155.58892</v>
      </c>
      <c r="BU14" s="11">
        <v>9596.4855719999996</v>
      </c>
      <c r="BV14" s="10">
        <v>9880.2508140000009</v>
      </c>
      <c r="BW14" s="10">
        <v>8067.0618519999998</v>
      </c>
      <c r="BX14" s="10">
        <v>8820.2130649999999</v>
      </c>
      <c r="BY14" s="10">
        <v>9172.3365389999999</v>
      </c>
      <c r="BZ14" s="10">
        <v>11085.982469</v>
      </c>
      <c r="CA14" s="10">
        <v>9632.324627</v>
      </c>
      <c r="CB14" s="10">
        <v>11443.915057</v>
      </c>
      <c r="CC14" s="10">
        <v>11272.048155</v>
      </c>
      <c r="CD14" s="10">
        <v>12989.215674999999</v>
      </c>
      <c r="CE14" s="10">
        <v>12185.440221000001</v>
      </c>
      <c r="CF14" s="10">
        <v>11400.434512</v>
      </c>
      <c r="CG14" s="11">
        <v>11324.302194</v>
      </c>
      <c r="CH14" s="10">
        <v>12468.715794</v>
      </c>
      <c r="CI14" s="10">
        <v>9809.9932622999986</v>
      </c>
      <c r="CJ14" s="10">
        <v>10286.082232999999</v>
      </c>
      <c r="CK14" s="10">
        <v>11215.035749000001</v>
      </c>
      <c r="CL14" s="10">
        <v>11690.252686</v>
      </c>
      <c r="CM14" s="10">
        <v>11294.864804999999</v>
      </c>
      <c r="CN14" s="10">
        <v>12255.731965000001</v>
      </c>
      <c r="CO14" s="10">
        <v>12027.197441</v>
      </c>
    </row>
    <row r="15" spans="1:93" s="12" customFormat="1" x14ac:dyDescent="0.2">
      <c r="A15" s="9" t="s">
        <v>12</v>
      </c>
      <c r="B15" s="10">
        <v>70.657791000000003</v>
      </c>
      <c r="C15" s="10">
        <v>71.712271999999999</v>
      </c>
      <c r="D15" s="10">
        <v>74.78004</v>
      </c>
      <c r="E15" s="10">
        <v>72.511863000000005</v>
      </c>
      <c r="F15" s="10">
        <v>84.200652000000005</v>
      </c>
      <c r="G15" s="10">
        <v>94.425206000000003</v>
      </c>
      <c r="H15" s="10">
        <v>96.400920999999997</v>
      </c>
      <c r="I15" s="10">
        <v>93.308076999999997</v>
      </c>
      <c r="J15" s="10">
        <v>82.281111999999993</v>
      </c>
      <c r="K15" s="10">
        <v>91.265876000000006</v>
      </c>
      <c r="L15" s="10">
        <v>102.52274199999999</v>
      </c>
      <c r="M15" s="11">
        <v>104.897882</v>
      </c>
      <c r="N15" s="10">
        <v>96.004293150000009</v>
      </c>
      <c r="O15" s="10">
        <v>96.148906159999996</v>
      </c>
      <c r="P15" s="10">
        <v>94.282906499999996</v>
      </c>
      <c r="Q15" s="10">
        <v>38.165579280000003</v>
      </c>
      <c r="R15" s="10">
        <v>68.86440404999999</v>
      </c>
      <c r="S15" s="10">
        <v>117.36910198999999</v>
      </c>
      <c r="T15" s="10">
        <v>116.09580688</v>
      </c>
      <c r="U15" s="10">
        <v>155.44773899</v>
      </c>
      <c r="V15" s="10">
        <v>156.92752227</v>
      </c>
      <c r="W15" s="10">
        <v>193.12351784000001</v>
      </c>
      <c r="X15" s="10">
        <v>162.49908099999999</v>
      </c>
      <c r="Y15" s="11">
        <v>166.03329318000002</v>
      </c>
      <c r="Z15" s="10">
        <v>161.68646050000001</v>
      </c>
      <c r="AA15" s="10">
        <v>167.43466255000001</v>
      </c>
      <c r="AB15" s="10">
        <v>186.13911200999999</v>
      </c>
      <c r="AC15" s="10">
        <v>245.06</v>
      </c>
      <c r="AD15" s="10">
        <v>212.18487929</v>
      </c>
      <c r="AE15" s="10">
        <v>235.16456912999999</v>
      </c>
      <c r="AF15" s="10">
        <v>246.49746650999998</v>
      </c>
      <c r="AG15" s="10">
        <v>259.69954314</v>
      </c>
      <c r="AH15" s="10">
        <v>268.98697683999995</v>
      </c>
      <c r="AI15" s="10">
        <v>332.70405006999999</v>
      </c>
      <c r="AJ15" s="10">
        <v>279.09082481000002</v>
      </c>
      <c r="AK15" s="11">
        <v>268.86330702999999</v>
      </c>
      <c r="AL15" s="10">
        <v>308.85751161000002</v>
      </c>
      <c r="AM15" s="10">
        <v>312.27661001999996</v>
      </c>
      <c r="AN15" s="10">
        <v>362.82613904000004</v>
      </c>
      <c r="AO15" s="10">
        <v>315.91570855000003</v>
      </c>
      <c r="AP15" s="10">
        <v>316.71352135000001</v>
      </c>
      <c r="AQ15" s="10">
        <v>348.88110211000003</v>
      </c>
      <c r="AR15" s="10">
        <v>430.06944827999996</v>
      </c>
      <c r="AS15" s="10">
        <v>457.51380037000001</v>
      </c>
      <c r="AT15" s="10">
        <v>556.37772751</v>
      </c>
      <c r="AU15" s="10">
        <v>419.94681050999998</v>
      </c>
      <c r="AV15" s="10">
        <v>439.96919773000002</v>
      </c>
      <c r="AW15" s="11">
        <v>464.43641801999996</v>
      </c>
      <c r="AX15" s="10">
        <v>553.79999999999995</v>
      </c>
      <c r="AY15" s="10">
        <v>690</v>
      </c>
      <c r="AZ15" s="10">
        <v>660.1</v>
      </c>
      <c r="BA15" s="10">
        <v>758.4</v>
      </c>
      <c r="BB15" s="10">
        <v>792.2</v>
      </c>
      <c r="BC15" s="10">
        <v>763.5</v>
      </c>
      <c r="BD15" s="10">
        <v>945.7</v>
      </c>
      <c r="BE15" s="10">
        <v>1086.5</v>
      </c>
      <c r="BF15" s="10">
        <v>1066.5</v>
      </c>
      <c r="BG15" s="10">
        <v>1028.5</v>
      </c>
      <c r="BH15" s="10">
        <v>1084.5</v>
      </c>
      <c r="BI15" s="11">
        <v>971.5</v>
      </c>
      <c r="BJ15" s="10">
        <v>1013.88224396</v>
      </c>
      <c r="BK15" s="10">
        <v>1385.47371787</v>
      </c>
      <c r="BL15" s="10">
        <v>1849.71158631</v>
      </c>
      <c r="BM15" s="10">
        <v>1824.0674768699998</v>
      </c>
      <c r="BN15" s="10">
        <v>1918.6332810500001</v>
      </c>
      <c r="BO15" s="10">
        <v>2462.8879960500003</v>
      </c>
      <c r="BP15" s="10">
        <v>2595.8250567800001</v>
      </c>
      <c r="BQ15" s="10">
        <v>3198.7769466700001</v>
      </c>
      <c r="BR15" s="10">
        <v>3863.3756000999997</v>
      </c>
      <c r="BS15" s="10">
        <v>3066.7798255600001</v>
      </c>
      <c r="BT15" s="10">
        <v>3204.2965798999999</v>
      </c>
      <c r="BU15" s="11">
        <v>3246.384556</v>
      </c>
      <c r="BV15" s="10">
        <v>3864.8522220700002</v>
      </c>
      <c r="BW15" s="10">
        <v>4976.5077115799995</v>
      </c>
      <c r="BX15" s="10">
        <v>4601.9741959100002</v>
      </c>
      <c r="BY15" s="10">
        <v>4144.6524160500003</v>
      </c>
      <c r="BZ15" s="10">
        <v>4673.1371768100007</v>
      </c>
      <c r="CA15" s="10">
        <v>4794.0366718400001</v>
      </c>
      <c r="CB15" s="10">
        <v>5147.4433878899999</v>
      </c>
      <c r="CC15" s="10">
        <v>4950.6733038500006</v>
      </c>
      <c r="CD15" s="10">
        <v>5134.12112892</v>
      </c>
      <c r="CE15" s="10">
        <v>4615.9393742299999</v>
      </c>
      <c r="CF15" s="10">
        <v>4388.9350820200007</v>
      </c>
      <c r="CG15" s="11">
        <v>4658.6767007099997</v>
      </c>
      <c r="CH15" s="10">
        <v>5230.0884749200004</v>
      </c>
      <c r="CI15" s="10">
        <v>4844.9493068900001</v>
      </c>
      <c r="CJ15" s="10">
        <v>4819.5823390200003</v>
      </c>
      <c r="CK15" s="10">
        <v>5040.8168746599995</v>
      </c>
      <c r="CL15" s="10">
        <v>5661.5843592199999</v>
      </c>
      <c r="CM15" s="10">
        <v>5633.88023634</v>
      </c>
      <c r="CN15" s="10">
        <v>5264.57456155</v>
      </c>
      <c r="CO15" s="10">
        <v>5319.1119349099999</v>
      </c>
    </row>
    <row r="16" spans="1:93" s="12" customFormat="1" x14ac:dyDescent="0.2">
      <c r="A16" s="9" t="s">
        <v>13</v>
      </c>
      <c r="B16" s="10">
        <v>312.27247358</v>
      </c>
      <c r="C16" s="10">
        <v>180.47741341999998</v>
      </c>
      <c r="D16" s="10">
        <v>182.43763347000001</v>
      </c>
      <c r="E16" s="10">
        <v>160.84516553999998</v>
      </c>
      <c r="F16" s="10">
        <v>303.34651262</v>
      </c>
      <c r="G16" s="10">
        <v>169.71261730000001</v>
      </c>
      <c r="H16" s="10">
        <v>301.15541497000004</v>
      </c>
      <c r="I16" s="10">
        <v>387.45448926</v>
      </c>
      <c r="J16" s="10">
        <v>218.93115276</v>
      </c>
      <c r="K16" s="10">
        <v>179.56282413</v>
      </c>
      <c r="L16" s="10">
        <v>351.45080108999997</v>
      </c>
      <c r="M16" s="11">
        <v>331.52044805000003</v>
      </c>
      <c r="N16" s="10">
        <v>188.63972519999999</v>
      </c>
      <c r="O16" s="10">
        <v>267.82096956999999</v>
      </c>
      <c r="P16" s="10">
        <v>113.07669270000001</v>
      </c>
      <c r="Q16" s="10">
        <v>228.99643675999999</v>
      </c>
      <c r="R16" s="10">
        <v>169.74683959999999</v>
      </c>
      <c r="S16" s="10">
        <v>240.65265269</v>
      </c>
      <c r="T16" s="10">
        <v>156.31429359999998</v>
      </c>
      <c r="U16" s="10">
        <v>160.84891161000002</v>
      </c>
      <c r="V16" s="10">
        <v>191.40651880000001</v>
      </c>
      <c r="W16" s="10">
        <v>191.64529887999998</v>
      </c>
      <c r="X16" s="10">
        <v>192.35261249000001</v>
      </c>
      <c r="Y16" s="11">
        <v>188.87648972</v>
      </c>
      <c r="Z16" s="10">
        <v>278.38471708999998</v>
      </c>
      <c r="AA16" s="10">
        <v>232.57766169999999</v>
      </c>
      <c r="AB16" s="10">
        <v>288.44844518999997</v>
      </c>
      <c r="AC16" s="10">
        <v>328.73957888000001</v>
      </c>
      <c r="AD16" s="10">
        <v>269.48203622000005</v>
      </c>
      <c r="AE16" s="10">
        <v>255.48304019999998</v>
      </c>
      <c r="AF16" s="10">
        <v>346.36394697000003</v>
      </c>
      <c r="AG16" s="10">
        <v>330.34065289</v>
      </c>
      <c r="AH16" s="10">
        <v>390.77321393</v>
      </c>
      <c r="AI16" s="10">
        <v>328.8</v>
      </c>
      <c r="AJ16" s="10">
        <v>364.98482608</v>
      </c>
      <c r="AK16" s="11">
        <v>448.66519074000001</v>
      </c>
      <c r="AL16" s="10">
        <v>384.19312183999995</v>
      </c>
      <c r="AM16" s="10">
        <v>450.11348366999999</v>
      </c>
      <c r="AN16" s="10">
        <v>455.66078085000004</v>
      </c>
      <c r="AO16" s="10">
        <v>627.81308096999999</v>
      </c>
      <c r="AP16" s="10">
        <v>486.91639301999999</v>
      </c>
      <c r="AQ16" s="10">
        <v>503.35968273000003</v>
      </c>
      <c r="AR16" s="10">
        <v>925.21828539000001</v>
      </c>
      <c r="AS16" s="10">
        <v>599.89890735000006</v>
      </c>
      <c r="AT16" s="10">
        <v>800.69564375000004</v>
      </c>
      <c r="AU16" s="10">
        <v>887.25218533000009</v>
      </c>
      <c r="AV16" s="10">
        <v>702.52187147000006</v>
      </c>
      <c r="AW16" s="11">
        <v>972.65981050000005</v>
      </c>
      <c r="AX16" s="10">
        <v>1048.1670949299998</v>
      </c>
      <c r="AY16" s="10">
        <v>930.28827102999992</v>
      </c>
      <c r="AZ16" s="10">
        <v>964.48312102</v>
      </c>
      <c r="BA16" s="10">
        <v>1138.1805813699998</v>
      </c>
      <c r="BB16" s="10">
        <v>1045.0793503899999</v>
      </c>
      <c r="BC16" s="10">
        <v>1475.7510420000001</v>
      </c>
      <c r="BD16" s="10">
        <v>1499.7126652300001</v>
      </c>
      <c r="BE16" s="10">
        <v>2355.6142340300003</v>
      </c>
      <c r="BF16" s="10">
        <v>1765.4702531400001</v>
      </c>
      <c r="BG16" s="10">
        <v>1706.12472467</v>
      </c>
      <c r="BH16" s="10">
        <v>1751.1548407999999</v>
      </c>
      <c r="BI16" s="11">
        <v>1853.1978362100001</v>
      </c>
      <c r="BJ16" s="10">
        <v>1853.81517424</v>
      </c>
      <c r="BK16" s="10">
        <v>2423.20256664</v>
      </c>
      <c r="BL16" s="10">
        <v>2845.0146858000003</v>
      </c>
      <c r="BM16" s="10">
        <v>3055.2933113899999</v>
      </c>
      <c r="BN16" s="10">
        <v>4255.8367542899996</v>
      </c>
      <c r="BO16" s="10">
        <v>4617.7081726999995</v>
      </c>
      <c r="BP16" s="10">
        <v>5193.7991747400001</v>
      </c>
      <c r="BQ16" s="10">
        <v>6801.4570508999996</v>
      </c>
      <c r="BR16" s="10">
        <v>5887.2493990100002</v>
      </c>
      <c r="BS16" s="10">
        <v>6963.6490066199995</v>
      </c>
      <c r="BT16" s="10">
        <v>7077.5899468400003</v>
      </c>
      <c r="BU16" s="11">
        <v>7411.6812796899994</v>
      </c>
      <c r="BV16" s="10">
        <v>6696.9530777700002</v>
      </c>
      <c r="BW16" s="10">
        <v>9014.9071764199998</v>
      </c>
      <c r="BX16" s="10">
        <v>7771.6077886400008</v>
      </c>
      <c r="BY16" s="10">
        <v>13802.6316479</v>
      </c>
      <c r="BZ16" s="10">
        <v>9216.8022865000003</v>
      </c>
      <c r="CA16" s="10">
        <v>10583.99117404</v>
      </c>
      <c r="CB16" s="10">
        <v>11153.68192128</v>
      </c>
      <c r="CC16" s="10">
        <v>10128.839803280001</v>
      </c>
      <c r="CD16" s="10">
        <v>10350.370460479999</v>
      </c>
      <c r="CE16" s="10">
        <v>9565.5455336699997</v>
      </c>
      <c r="CF16" s="10">
        <v>9197.5428099599994</v>
      </c>
      <c r="CG16" s="11">
        <v>9497.3614644500012</v>
      </c>
      <c r="CH16" s="10">
        <v>10620.09625887</v>
      </c>
      <c r="CI16" s="10">
        <v>17369.226374819998</v>
      </c>
      <c r="CJ16" s="10">
        <v>11440.792712909999</v>
      </c>
      <c r="CK16" s="10">
        <v>11553.46871175</v>
      </c>
      <c r="CL16" s="10">
        <v>13087.604487819999</v>
      </c>
      <c r="CM16" s="10">
        <v>11161.310732100001</v>
      </c>
      <c r="CN16" s="10">
        <v>22563.615418650003</v>
      </c>
      <c r="CO16" s="10"/>
    </row>
    <row r="17" spans="1:93" s="12" customFormat="1" x14ac:dyDescent="0.2">
      <c r="A17" s="9" t="s">
        <v>14</v>
      </c>
      <c r="B17" s="10">
        <v>65.218004550000003</v>
      </c>
      <c r="C17" s="10">
        <v>83.18860912000001</v>
      </c>
      <c r="D17" s="10">
        <v>77.096452129999989</v>
      </c>
      <c r="E17" s="10">
        <v>76.442653980000003</v>
      </c>
      <c r="F17" s="10">
        <v>72.40513421</v>
      </c>
      <c r="G17" s="10">
        <v>69.459974060000008</v>
      </c>
      <c r="H17" s="10">
        <v>85.886690110000004</v>
      </c>
      <c r="I17" s="10">
        <v>85.356715800000003</v>
      </c>
      <c r="J17" s="10">
        <v>92.62738453</v>
      </c>
      <c r="K17" s="10">
        <v>74.701938430000013</v>
      </c>
      <c r="L17" s="10">
        <v>79.31174037000001</v>
      </c>
      <c r="M17" s="11">
        <v>80.550456569999994</v>
      </c>
      <c r="N17" s="10">
        <v>81.705144239999996</v>
      </c>
      <c r="O17" s="10">
        <v>88.348248519999999</v>
      </c>
      <c r="P17" s="10">
        <v>71.982004469999993</v>
      </c>
      <c r="Q17" s="10">
        <v>47.657966369999997</v>
      </c>
      <c r="R17" s="10">
        <v>29.05612146</v>
      </c>
      <c r="S17" s="10">
        <v>49.327598549999998</v>
      </c>
      <c r="T17" s="10">
        <v>78.595537780000001</v>
      </c>
      <c r="U17" s="10">
        <v>86.983526949999998</v>
      </c>
      <c r="V17" s="10">
        <v>97.330361799999991</v>
      </c>
      <c r="W17" s="10">
        <v>109.61228368</v>
      </c>
      <c r="X17" s="10">
        <v>113.18359190999999</v>
      </c>
      <c r="Y17" s="11">
        <v>114.06073740000001</v>
      </c>
      <c r="Z17" s="10">
        <v>109.89225681999999</v>
      </c>
      <c r="AA17" s="10">
        <v>132.48306059000001</v>
      </c>
      <c r="AB17" s="10">
        <v>142.11063200999999</v>
      </c>
      <c r="AC17" s="10">
        <v>154.69999999999999</v>
      </c>
      <c r="AD17" s="10">
        <v>147.80897443999999</v>
      </c>
      <c r="AE17" s="10">
        <v>119.19627573999999</v>
      </c>
      <c r="AF17" s="10">
        <v>161.12401302000001</v>
      </c>
      <c r="AG17" s="10">
        <v>170.61707658</v>
      </c>
      <c r="AH17" s="10">
        <v>175.39431481</v>
      </c>
      <c r="AI17" s="10">
        <v>186.91119349000002</v>
      </c>
      <c r="AJ17" s="10">
        <v>171.85824421999999</v>
      </c>
      <c r="AK17" s="11">
        <v>184.68303308</v>
      </c>
      <c r="AL17" s="10">
        <v>189.91129746999999</v>
      </c>
      <c r="AM17" s="10">
        <v>189.18944071000001</v>
      </c>
      <c r="AN17" s="10">
        <v>205.05338097999999</v>
      </c>
      <c r="AO17" s="10">
        <v>255.38492251</v>
      </c>
      <c r="AP17" s="10">
        <v>223.85509896000002</v>
      </c>
      <c r="AQ17" s="10">
        <v>234.60468509</v>
      </c>
      <c r="AR17" s="10">
        <v>227.41599932</v>
      </c>
      <c r="AS17" s="10">
        <v>249.94206066000001</v>
      </c>
      <c r="AT17" s="10">
        <v>576.45361657000001</v>
      </c>
      <c r="AU17" s="10">
        <v>265.98692547000002</v>
      </c>
      <c r="AV17" s="10">
        <v>270.02032157999997</v>
      </c>
      <c r="AW17" s="11">
        <v>298.96725256000002</v>
      </c>
      <c r="AX17" s="10">
        <v>304.54500872000006</v>
      </c>
      <c r="AY17" s="10">
        <v>350.43910075000002</v>
      </c>
      <c r="AZ17" s="10">
        <v>367.84195355000003</v>
      </c>
      <c r="BA17" s="10">
        <v>422.41350835000003</v>
      </c>
      <c r="BB17" s="10">
        <v>456.45227918</v>
      </c>
      <c r="BC17" s="10">
        <v>464.86757225000002</v>
      </c>
      <c r="BD17" s="10">
        <v>457.15823295999996</v>
      </c>
      <c r="BE17" s="10">
        <v>586.26144029</v>
      </c>
      <c r="BF17" s="10">
        <v>813.47673286999998</v>
      </c>
      <c r="BG17" s="10">
        <v>622.47366557000009</v>
      </c>
      <c r="BH17" s="10">
        <v>725.24172536000003</v>
      </c>
      <c r="BI17" s="11">
        <v>753.62370333000001</v>
      </c>
      <c r="BJ17" s="10">
        <v>800.23769885000002</v>
      </c>
      <c r="BK17" s="10">
        <v>369.51982039000001</v>
      </c>
      <c r="BL17" s="10">
        <v>1143.6401590299999</v>
      </c>
      <c r="BM17" s="10">
        <v>1203.32791602</v>
      </c>
      <c r="BN17" s="10">
        <v>1560.7983188699998</v>
      </c>
      <c r="BO17" s="10">
        <v>1930.5412322499999</v>
      </c>
      <c r="BP17" s="10">
        <v>1891.9357827899998</v>
      </c>
      <c r="BQ17" s="10">
        <v>2541.71632903</v>
      </c>
      <c r="BR17" s="10">
        <v>3424.4868904200002</v>
      </c>
      <c r="BS17" s="10">
        <v>2785.2327928200002</v>
      </c>
      <c r="BT17" s="10">
        <v>3190.86994869</v>
      </c>
      <c r="BU17" s="11">
        <v>3183.46719669</v>
      </c>
      <c r="BV17" s="10">
        <v>3275.6731754400003</v>
      </c>
      <c r="BW17" s="10">
        <v>3902.7606968300001</v>
      </c>
      <c r="BX17" s="10">
        <v>4028.7364191199999</v>
      </c>
      <c r="BY17" s="10">
        <v>3808.29767687</v>
      </c>
      <c r="BZ17" s="10">
        <v>4443.8237525900004</v>
      </c>
      <c r="CA17" s="10">
        <v>4753.4757468299995</v>
      </c>
      <c r="CB17" s="10">
        <v>3571.8214412399998</v>
      </c>
      <c r="CC17" s="10">
        <v>3850.8998412399997</v>
      </c>
      <c r="CD17" s="10">
        <v>3837.5878816700001</v>
      </c>
      <c r="CE17" s="10">
        <v>4534.0303280600001</v>
      </c>
      <c r="CF17" s="10">
        <v>3790.1997735100003</v>
      </c>
      <c r="CG17" s="11">
        <v>3872.1643101300001</v>
      </c>
      <c r="CH17" s="10">
        <v>8166.5728034399999</v>
      </c>
      <c r="CI17" s="10">
        <v>3852.39503612</v>
      </c>
      <c r="CJ17" s="10">
        <v>4243.1389136199996</v>
      </c>
      <c r="CK17" s="10">
        <v>4618.3390757500001</v>
      </c>
      <c r="CL17" s="10">
        <v>5065.4802997099996</v>
      </c>
      <c r="CM17" s="10">
        <v>7284.2478874500002</v>
      </c>
      <c r="CN17" s="10">
        <v>6494.0759445900003</v>
      </c>
      <c r="CO17" s="10">
        <v>5554.4858568599993</v>
      </c>
    </row>
    <row r="18" spans="1:93" s="12" customFormat="1" x14ac:dyDescent="0.2">
      <c r="A18" s="9" t="s">
        <v>15</v>
      </c>
      <c r="B18" s="10">
        <v>110.09893877</v>
      </c>
      <c r="C18" s="10">
        <v>109.28334251</v>
      </c>
      <c r="D18" s="10">
        <v>97.828451909999998</v>
      </c>
      <c r="E18" s="10">
        <v>131.43099999999998</v>
      </c>
      <c r="F18" s="10">
        <v>114.01</v>
      </c>
      <c r="G18" s="10">
        <v>100.60433762000001</v>
      </c>
      <c r="H18" s="10">
        <v>120.565</v>
      </c>
      <c r="I18" s="10">
        <v>131.23636482999999</v>
      </c>
      <c r="J18" s="10">
        <v>152.26567366999998</v>
      </c>
      <c r="K18" s="10">
        <v>131.87369777000001</v>
      </c>
      <c r="L18" s="10">
        <v>127.6019896</v>
      </c>
      <c r="M18" s="11">
        <v>148.53233072999998</v>
      </c>
      <c r="N18" s="10">
        <v>179.19034288</v>
      </c>
      <c r="O18" s="10">
        <v>110.65532545000001</v>
      </c>
      <c r="P18" s="10">
        <v>119.62812371</v>
      </c>
      <c r="Q18" s="10">
        <v>69.627430379999993</v>
      </c>
      <c r="R18" s="10">
        <v>103.01728843000001</v>
      </c>
      <c r="S18" s="10">
        <v>154.32218639999999</v>
      </c>
      <c r="T18" s="10">
        <v>165.42367503999998</v>
      </c>
      <c r="U18" s="10">
        <v>207.83765795000002</v>
      </c>
      <c r="V18" s="10">
        <v>144.44463812000001</v>
      </c>
      <c r="W18" s="10">
        <v>176.81425165000002</v>
      </c>
      <c r="X18" s="10">
        <v>249.15047296</v>
      </c>
      <c r="Y18" s="11">
        <v>228.49219430000002</v>
      </c>
      <c r="Z18" s="10">
        <v>231.54108386000001</v>
      </c>
      <c r="AA18" s="10">
        <v>247.58181676000001</v>
      </c>
      <c r="AB18" s="10">
        <v>314.40243243000003</v>
      </c>
      <c r="AC18" s="10">
        <v>247.93184589999998</v>
      </c>
      <c r="AD18" s="10">
        <v>275.61139512</v>
      </c>
      <c r="AE18" s="10">
        <v>273.30876494</v>
      </c>
      <c r="AF18" s="10">
        <v>298.73650523000003</v>
      </c>
      <c r="AG18" s="10">
        <v>421.50900000000001</v>
      </c>
      <c r="AH18" s="10">
        <v>347.08431456</v>
      </c>
      <c r="AI18" s="10">
        <v>388.15632220999998</v>
      </c>
      <c r="AJ18" s="10">
        <v>393.43105893000001</v>
      </c>
      <c r="AK18" s="11">
        <v>411.77225743999998</v>
      </c>
      <c r="AL18" s="10">
        <v>391.81513579</v>
      </c>
      <c r="AM18" s="10">
        <v>398.29344645999998</v>
      </c>
      <c r="AN18" s="10">
        <v>474.86975590999998</v>
      </c>
      <c r="AO18" s="10">
        <v>528.00029044000007</v>
      </c>
      <c r="AP18" s="10">
        <v>501.89476524000003</v>
      </c>
      <c r="AQ18" s="10">
        <v>486.95578234999999</v>
      </c>
      <c r="AR18" s="10">
        <v>532.63296347999994</v>
      </c>
      <c r="AS18" s="10">
        <v>732.10878395999998</v>
      </c>
      <c r="AT18" s="10">
        <v>557.11368699000002</v>
      </c>
      <c r="AU18" s="10">
        <v>661.12967044000004</v>
      </c>
      <c r="AV18" s="10">
        <v>630.77427957999998</v>
      </c>
      <c r="AW18" s="11">
        <v>682.61913116000005</v>
      </c>
      <c r="AX18" s="10">
        <v>981.56055178999998</v>
      </c>
      <c r="AY18" s="10">
        <v>764.46753092999995</v>
      </c>
      <c r="AZ18" s="10">
        <v>953.13841365999997</v>
      </c>
      <c r="BA18" s="10">
        <v>968.5653776900001</v>
      </c>
      <c r="BB18" s="10">
        <v>1053.8478417900001</v>
      </c>
      <c r="BC18" s="10">
        <v>1033.5665608100001</v>
      </c>
      <c r="BD18" s="10">
        <v>1228.8194591499998</v>
      </c>
      <c r="BE18" s="10">
        <v>1534.8312770099999</v>
      </c>
      <c r="BF18" s="10">
        <v>1579.6628529</v>
      </c>
      <c r="BG18" s="10">
        <v>1517.74517208</v>
      </c>
      <c r="BH18" s="10">
        <v>1590.88254607</v>
      </c>
      <c r="BI18" s="11">
        <v>1593.8568325900001</v>
      </c>
      <c r="BJ18" s="10">
        <v>2223.56401942</v>
      </c>
      <c r="BK18" s="10">
        <v>1892.79251533</v>
      </c>
      <c r="BL18" s="10">
        <v>2191.2477149300003</v>
      </c>
      <c r="BM18" s="10">
        <v>2651.1302123299997</v>
      </c>
      <c r="BN18" s="10">
        <v>4080.8646384100002</v>
      </c>
      <c r="BO18" s="10">
        <v>3696.39321427</v>
      </c>
      <c r="BP18" s="10">
        <v>5629.8644064999999</v>
      </c>
      <c r="BQ18" s="10">
        <v>4691.1988568999996</v>
      </c>
      <c r="BR18" s="10">
        <v>4787.0595245000004</v>
      </c>
      <c r="BS18" s="10">
        <v>6649.5413091500004</v>
      </c>
      <c r="BT18" s="10">
        <v>4997.5596331799998</v>
      </c>
      <c r="BU18" s="11">
        <v>6876.7958870000002</v>
      </c>
      <c r="BV18" s="10">
        <v>7082.2844521300003</v>
      </c>
      <c r="BW18" s="10">
        <v>5099.3834794799996</v>
      </c>
      <c r="BX18" s="10">
        <v>4147.8218956199999</v>
      </c>
      <c r="BY18" s="10">
        <v>5405.3499336300001</v>
      </c>
      <c r="BZ18" s="10">
        <v>7199.3458142500003</v>
      </c>
      <c r="CA18" s="10">
        <v>5622.4350128599999</v>
      </c>
      <c r="CB18" s="10">
        <v>8462.9697397199998</v>
      </c>
      <c r="CC18" s="10">
        <v>7113.4443368599996</v>
      </c>
      <c r="CD18" s="10">
        <v>7113.4443368599996</v>
      </c>
      <c r="CE18" s="10">
        <v>6247.9289421000003</v>
      </c>
      <c r="CF18" s="10">
        <v>6149.1750656300001</v>
      </c>
      <c r="CG18" s="11">
        <v>5780.0398803299995</v>
      </c>
      <c r="CH18" s="10">
        <v>6201.5728716399999</v>
      </c>
      <c r="CI18" s="10">
        <v>7515.2712416000004</v>
      </c>
      <c r="CJ18" s="10">
        <v>6946.4746082700003</v>
      </c>
      <c r="CK18" s="10">
        <v>7399.1220653500004</v>
      </c>
      <c r="CL18" s="10">
        <v>6764.6026511700002</v>
      </c>
      <c r="CM18" s="10">
        <v>6003.7941450899998</v>
      </c>
      <c r="CN18" s="10"/>
      <c r="CO18" s="10"/>
    </row>
    <row r="19" spans="1:93" s="12" customFormat="1" x14ac:dyDescent="0.2">
      <c r="A19" s="9" t="s">
        <v>16</v>
      </c>
      <c r="B19" s="10">
        <v>49.936050430000002</v>
      </c>
      <c r="C19" s="10">
        <v>52.056553710000003</v>
      </c>
      <c r="D19" s="10">
        <v>57.502925380000001</v>
      </c>
      <c r="E19" s="10">
        <v>49.977018549999997</v>
      </c>
      <c r="F19" s="10">
        <v>49.012440609999999</v>
      </c>
      <c r="G19" s="10">
        <v>61.228876169999999</v>
      </c>
      <c r="H19" s="10">
        <v>50.503677240000002</v>
      </c>
      <c r="I19" s="10">
        <v>54.280616259999995</v>
      </c>
      <c r="J19" s="10">
        <v>71.359160959999997</v>
      </c>
      <c r="K19" s="10">
        <v>60.235667200000002</v>
      </c>
      <c r="L19" s="10">
        <v>77.712867349999996</v>
      </c>
      <c r="M19" s="11">
        <v>51.81861773</v>
      </c>
      <c r="N19" s="10">
        <v>62.723993999999998</v>
      </c>
      <c r="O19" s="10">
        <v>59.232990000000001</v>
      </c>
      <c r="P19" s="10">
        <v>53.642501000000003</v>
      </c>
      <c r="Q19" s="10">
        <v>44.254413999999997</v>
      </c>
      <c r="R19" s="10">
        <v>48.014257000000001</v>
      </c>
      <c r="S19" s="10">
        <v>61.729562000000001</v>
      </c>
      <c r="T19" s="10">
        <v>57.241047999999999</v>
      </c>
      <c r="U19" s="10">
        <v>64.317009999999996</v>
      </c>
      <c r="V19" s="10">
        <v>62.234368000000003</v>
      </c>
      <c r="W19" s="10">
        <v>66.929137999999995</v>
      </c>
      <c r="X19" s="10">
        <v>69.630452000000005</v>
      </c>
      <c r="Y19" s="11">
        <v>82.206441999999996</v>
      </c>
      <c r="Z19" s="10">
        <v>89.026302000000001</v>
      </c>
      <c r="AA19" s="10">
        <v>84.374922999999995</v>
      </c>
      <c r="AB19" s="10">
        <v>121.18020799999999</v>
      </c>
      <c r="AC19" s="10">
        <v>105.053365</v>
      </c>
      <c r="AD19" s="10">
        <v>91.442240999999996</v>
      </c>
      <c r="AE19" s="10">
        <v>101.774332</v>
      </c>
      <c r="AF19" s="10">
        <v>107.833322</v>
      </c>
      <c r="AG19" s="10">
        <v>111.365011</v>
      </c>
      <c r="AH19" s="10">
        <v>116.89255</v>
      </c>
      <c r="AI19" s="10">
        <v>139.82514499999999</v>
      </c>
      <c r="AJ19" s="10">
        <v>120.40018999999999</v>
      </c>
      <c r="AK19" s="11">
        <v>122.148257</v>
      </c>
      <c r="AL19" s="10">
        <v>120.011584</v>
      </c>
      <c r="AM19" s="10">
        <v>127.682329</v>
      </c>
      <c r="AN19" s="10">
        <v>143.229626</v>
      </c>
      <c r="AO19" s="10">
        <v>141.82262600000001</v>
      </c>
      <c r="AP19" s="10">
        <v>160.057388</v>
      </c>
      <c r="AQ19" s="10">
        <v>149.12106299999999</v>
      </c>
      <c r="AR19" s="10">
        <v>185.49688399999999</v>
      </c>
      <c r="AS19" s="10">
        <v>199.79013900000001</v>
      </c>
      <c r="AT19" s="10">
        <v>235.618481</v>
      </c>
      <c r="AU19" s="10">
        <v>216.57169999999999</v>
      </c>
      <c r="AV19" s="10">
        <v>235.68583599999999</v>
      </c>
      <c r="AW19" s="11">
        <v>209.43176</v>
      </c>
      <c r="AX19" s="10">
        <v>320.170254</v>
      </c>
      <c r="AY19" s="10">
        <v>347.18748599999998</v>
      </c>
      <c r="AZ19" s="10">
        <v>458.818513</v>
      </c>
      <c r="BA19" s="10">
        <v>404.62999600000001</v>
      </c>
      <c r="BB19" s="10">
        <v>429.326572</v>
      </c>
      <c r="BC19" s="10">
        <v>646.89466700000003</v>
      </c>
      <c r="BD19" s="10">
        <v>573.30062099999998</v>
      </c>
      <c r="BE19" s="10">
        <v>588.62583800000004</v>
      </c>
      <c r="BF19" s="10">
        <v>671.26900999999998</v>
      </c>
      <c r="BG19" s="10">
        <v>691.86348299999997</v>
      </c>
      <c r="BH19" s="10">
        <v>681.47950300000002</v>
      </c>
      <c r="BI19" s="11">
        <v>856.77233999999999</v>
      </c>
      <c r="BJ19" s="10">
        <v>839.55067499999996</v>
      </c>
      <c r="BK19" s="10">
        <v>993.44698000000005</v>
      </c>
      <c r="BL19" s="10">
        <v>1114.1080059999999</v>
      </c>
      <c r="BM19" s="10">
        <v>1104.4708499999999</v>
      </c>
      <c r="BN19" s="10">
        <v>1175.56897</v>
      </c>
      <c r="BO19" s="10">
        <v>1195.1014259999999</v>
      </c>
      <c r="BP19" s="10">
        <v>1145.6133050000001</v>
      </c>
      <c r="BQ19" s="10">
        <v>1546.2886860000001</v>
      </c>
      <c r="BR19" s="10">
        <v>1488.358352</v>
      </c>
      <c r="BS19" s="10">
        <v>1660.4907800000001</v>
      </c>
      <c r="BT19" s="10">
        <v>1629.2310749999999</v>
      </c>
      <c r="BU19" s="11">
        <v>1732.595315</v>
      </c>
      <c r="BV19" s="10">
        <v>2015.6929259999999</v>
      </c>
      <c r="BW19" s="10">
        <v>1969.9119020000001</v>
      </c>
      <c r="BX19" s="10">
        <v>2146.9403950000001</v>
      </c>
      <c r="BY19" s="10">
        <v>2052.0859620000001</v>
      </c>
      <c r="BZ19" s="10">
        <v>2397.2778320000002</v>
      </c>
      <c r="CA19" s="10">
        <v>2456.662597</v>
      </c>
      <c r="CB19" s="10">
        <v>2637.1984640000001</v>
      </c>
      <c r="CC19" s="10">
        <v>2680.1644209999999</v>
      </c>
      <c r="CD19" s="10">
        <v>2684.6947180000002</v>
      </c>
      <c r="CE19" s="10">
        <v>2795.010941</v>
      </c>
      <c r="CF19" s="10">
        <v>2584.2764750000001</v>
      </c>
      <c r="CG19" s="11">
        <v>2467.3194319999998</v>
      </c>
      <c r="CH19" s="10">
        <v>3002.6838659999999</v>
      </c>
      <c r="CI19" s="10">
        <v>2659.0549639999999</v>
      </c>
      <c r="CJ19" s="10">
        <v>2843.9633330000001</v>
      </c>
      <c r="CK19" s="10">
        <v>2743.9616390000001</v>
      </c>
      <c r="CL19" s="10">
        <v>3165.3857969999999</v>
      </c>
      <c r="CM19" s="10">
        <v>2716.5482980000002</v>
      </c>
      <c r="CN19" s="10">
        <v>3045.023471</v>
      </c>
      <c r="CO19" s="10">
        <v>3039.956792</v>
      </c>
    </row>
    <row r="20" spans="1:93" s="12" customFormat="1" x14ac:dyDescent="0.2">
      <c r="A20" s="9" t="s">
        <v>17</v>
      </c>
      <c r="B20" s="10">
        <v>91.092409119999999</v>
      </c>
      <c r="C20" s="10">
        <v>49.270613570000002</v>
      </c>
      <c r="D20" s="10">
        <v>47.552619180000001</v>
      </c>
      <c r="E20" s="10">
        <v>51.61810199</v>
      </c>
      <c r="F20" s="10">
        <v>50.049304319999997</v>
      </c>
      <c r="G20" s="10">
        <v>54.242889839999997</v>
      </c>
      <c r="H20" s="10">
        <v>55.463000000000001</v>
      </c>
      <c r="I20" s="10">
        <v>60.624389909999998</v>
      </c>
      <c r="J20" s="10">
        <v>58.293358400000002</v>
      </c>
      <c r="K20" s="10">
        <v>82.834402260000005</v>
      </c>
      <c r="L20" s="10">
        <v>59.334034350000003</v>
      </c>
      <c r="M20" s="11">
        <v>63.210994960000001</v>
      </c>
      <c r="N20" s="10">
        <v>73.008956859999998</v>
      </c>
      <c r="O20" s="10">
        <v>67.646413370000005</v>
      </c>
      <c r="P20" s="10">
        <v>57.093945079999997</v>
      </c>
      <c r="Q20" s="10">
        <v>43.798024210000001</v>
      </c>
      <c r="R20" s="10">
        <v>41.014795090000007</v>
      </c>
      <c r="S20" s="10">
        <v>54.26606786</v>
      </c>
      <c r="T20" s="10">
        <v>66.085746409999999</v>
      </c>
      <c r="U20" s="10">
        <v>75.723668719999992</v>
      </c>
      <c r="V20" s="10">
        <v>70.56976521</v>
      </c>
      <c r="W20" s="10">
        <v>69.946151510000007</v>
      </c>
      <c r="X20" s="10">
        <v>64.087750569999997</v>
      </c>
      <c r="Y20" s="11">
        <v>91.542065739999998</v>
      </c>
      <c r="Z20" s="10">
        <v>100.10074647</v>
      </c>
      <c r="AA20" s="10">
        <v>116.62150108</v>
      </c>
      <c r="AB20" s="10">
        <v>100.23945188</v>
      </c>
      <c r="AC20" s="10">
        <v>151.77867721000001</v>
      </c>
      <c r="AD20" s="10">
        <v>161.54591015</v>
      </c>
      <c r="AE20" s="10">
        <v>176.91047988</v>
      </c>
      <c r="AF20" s="10">
        <v>210.34953679</v>
      </c>
      <c r="AG20" s="10">
        <v>231.81271067</v>
      </c>
      <c r="AH20" s="10">
        <v>196.90591291999999</v>
      </c>
      <c r="AI20" s="10">
        <v>156.60581058</v>
      </c>
      <c r="AJ20" s="10">
        <v>192.18100000000001</v>
      </c>
      <c r="AK20" s="11">
        <v>173.42216411999999</v>
      </c>
      <c r="AL20" s="10">
        <v>149.63055980999999</v>
      </c>
      <c r="AM20" s="10">
        <v>179.31718778999999</v>
      </c>
      <c r="AN20" s="10">
        <v>194.1756871</v>
      </c>
      <c r="AO20" s="10">
        <v>189.71481213000001</v>
      </c>
      <c r="AP20" s="10">
        <v>220.7803021</v>
      </c>
      <c r="AQ20" s="10">
        <v>232.67597433</v>
      </c>
      <c r="AR20" s="10">
        <v>245.16135517000001</v>
      </c>
      <c r="AS20" s="10">
        <v>272.12488160999999</v>
      </c>
      <c r="AT20" s="10">
        <v>248.00956532000001</v>
      </c>
      <c r="AU20" s="10">
        <v>254.26881520000001</v>
      </c>
      <c r="AV20" s="10">
        <v>301.52401192999997</v>
      </c>
      <c r="AW20" s="11">
        <v>280.32166561999998</v>
      </c>
      <c r="AX20" s="10">
        <v>322.79717310000001</v>
      </c>
      <c r="AY20" s="10">
        <v>294.84163642999999</v>
      </c>
      <c r="AZ20" s="10">
        <v>323.93339921</v>
      </c>
      <c r="BA20" s="10">
        <v>433.34882456000003</v>
      </c>
      <c r="BB20" s="10">
        <v>409.09958567000001</v>
      </c>
      <c r="BC20" s="10">
        <v>441.17479591</v>
      </c>
      <c r="BD20" s="10">
        <v>483.70623052000002</v>
      </c>
      <c r="BE20" s="10">
        <v>540.57188255999995</v>
      </c>
      <c r="BF20" s="10">
        <v>676.40429243999995</v>
      </c>
      <c r="BG20" s="10">
        <v>539.33280585</v>
      </c>
      <c r="BH20" s="10">
        <v>759.74158578999993</v>
      </c>
      <c r="BI20" s="11">
        <v>717.65662121000003</v>
      </c>
      <c r="BJ20" s="10">
        <v>711.27229151999995</v>
      </c>
      <c r="BK20" s="10">
        <v>954.76161977000004</v>
      </c>
      <c r="BL20" s="10">
        <v>1021.14890181</v>
      </c>
      <c r="BM20" s="10">
        <v>993.51206984999999</v>
      </c>
      <c r="BN20" s="10">
        <v>1205.1212578499999</v>
      </c>
      <c r="BO20" s="10">
        <v>1524.7146068</v>
      </c>
      <c r="BP20" s="10">
        <v>1687.9109257800001</v>
      </c>
      <c r="BQ20" s="10">
        <v>1722.9997967699999</v>
      </c>
      <c r="BR20" s="10">
        <v>1869.4573816100001</v>
      </c>
      <c r="BS20" s="10">
        <v>1986.2771605</v>
      </c>
      <c r="BT20" s="10">
        <v>2317.0953832</v>
      </c>
      <c r="BU20" s="11">
        <v>1969.01372681</v>
      </c>
      <c r="BV20" s="10">
        <v>2485.2414226999999</v>
      </c>
      <c r="BW20" s="10">
        <v>2178.7989374899998</v>
      </c>
      <c r="BX20" s="10">
        <v>2378.3486282700001</v>
      </c>
      <c r="BY20" s="10">
        <v>2424.0567608599999</v>
      </c>
      <c r="BZ20" s="10">
        <v>2368.65486706</v>
      </c>
      <c r="CA20" s="10">
        <v>2524.5233726300003</v>
      </c>
      <c r="CB20" s="10">
        <v>2737.18489331</v>
      </c>
      <c r="CC20" s="10">
        <v>2651.8497028500001</v>
      </c>
      <c r="CD20" s="10">
        <v>2889.8139510300002</v>
      </c>
      <c r="CE20" s="10">
        <v>2963.5415266</v>
      </c>
      <c r="CF20" s="10">
        <v>3171.4662426899999</v>
      </c>
      <c r="CG20" s="11">
        <v>2937.3168815900003</v>
      </c>
      <c r="CH20" s="10">
        <v>3246.2715652800002</v>
      </c>
      <c r="CI20" s="10">
        <v>2928.0727643800001</v>
      </c>
      <c r="CJ20" s="10">
        <v>3137.1319978000001</v>
      </c>
      <c r="CK20" s="10">
        <v>3083.1282932899999</v>
      </c>
      <c r="CL20" s="10">
        <v>3464.2343095300002</v>
      </c>
      <c r="CM20" s="10">
        <v>3264.30753602</v>
      </c>
      <c r="CN20" s="10">
        <v>3146.4982863800001</v>
      </c>
      <c r="CO20" s="10">
        <v>3821.9850585100003</v>
      </c>
    </row>
    <row r="21" spans="1:93" s="12" customFormat="1" x14ac:dyDescent="0.2">
      <c r="A21" s="9" t="s">
        <v>18</v>
      </c>
      <c r="B21" s="10">
        <v>42.754816779999999</v>
      </c>
      <c r="C21" s="10">
        <v>46.357605119999995</v>
      </c>
      <c r="D21" s="10">
        <v>47.592834320000001</v>
      </c>
      <c r="E21" s="10">
        <v>65.516942869999994</v>
      </c>
      <c r="F21" s="10">
        <v>62.247712719999996</v>
      </c>
      <c r="G21" s="10">
        <v>56.78867812</v>
      </c>
      <c r="H21" s="10">
        <v>72.367024870000009</v>
      </c>
      <c r="I21" s="10">
        <v>75.778425920000004</v>
      </c>
      <c r="J21" s="10">
        <v>89.340192909999999</v>
      </c>
      <c r="K21" s="10">
        <v>62.339656759999997</v>
      </c>
      <c r="L21" s="10">
        <v>106.20794149</v>
      </c>
      <c r="M21" s="11">
        <v>68.890887939999999</v>
      </c>
      <c r="N21" s="10">
        <v>65.196529409999997</v>
      </c>
      <c r="O21" s="10">
        <v>67.611160549999994</v>
      </c>
      <c r="P21" s="10">
        <v>63.205543979999995</v>
      </c>
      <c r="Q21" s="10">
        <v>31.57528099</v>
      </c>
      <c r="R21" s="10">
        <v>40.086563549999994</v>
      </c>
      <c r="S21" s="10">
        <v>53.601293460000001</v>
      </c>
      <c r="T21" s="10">
        <v>59.597300679999996</v>
      </c>
      <c r="U21" s="10">
        <v>85.153869069999999</v>
      </c>
      <c r="V21" s="10">
        <v>50.993402619999998</v>
      </c>
      <c r="W21" s="10">
        <v>92.181681730000008</v>
      </c>
      <c r="X21" s="10">
        <v>89.456594980000006</v>
      </c>
      <c r="Y21" s="11">
        <v>90.813983950000008</v>
      </c>
      <c r="Z21" s="10">
        <v>102.76480131</v>
      </c>
      <c r="AA21" s="10">
        <v>102.84441284</v>
      </c>
      <c r="AB21" s="10">
        <v>123.80046375000001</v>
      </c>
      <c r="AC21" s="10">
        <v>112.52</v>
      </c>
      <c r="AD21" s="10">
        <v>131.90930218</v>
      </c>
      <c r="AE21" s="10">
        <v>120.64101402</v>
      </c>
      <c r="AF21" s="10">
        <v>130.04036557999999</v>
      </c>
      <c r="AG21" s="10">
        <v>162.17244580000002</v>
      </c>
      <c r="AH21" s="10">
        <v>151.38607611</v>
      </c>
      <c r="AI21" s="10">
        <v>146.78648818000002</v>
      </c>
      <c r="AJ21" s="10">
        <v>164.80903698</v>
      </c>
      <c r="AK21" s="11">
        <v>190.17900875999999</v>
      </c>
      <c r="AL21" s="10">
        <v>196.97571148</v>
      </c>
      <c r="AM21" s="10">
        <v>206.59542824000002</v>
      </c>
      <c r="AN21" s="10">
        <v>284.08879311000004</v>
      </c>
      <c r="AO21" s="10">
        <v>196.15422075999999</v>
      </c>
      <c r="AP21" s="10">
        <v>224.11188894</v>
      </c>
      <c r="AQ21" s="10">
        <v>236.55303653999999</v>
      </c>
      <c r="AR21" s="10">
        <v>255.73878475999999</v>
      </c>
      <c r="AS21" s="10">
        <v>368.57117142000004</v>
      </c>
      <c r="AT21" s="10">
        <v>308.35055956000002</v>
      </c>
      <c r="AU21" s="10">
        <v>282.14541614000001</v>
      </c>
      <c r="AV21" s="10">
        <v>287.31874986000003</v>
      </c>
      <c r="AW21" s="11">
        <v>350.22909039999996</v>
      </c>
      <c r="AX21" s="10">
        <v>478.70731487</v>
      </c>
      <c r="AY21" s="10">
        <v>377.63317186</v>
      </c>
      <c r="AZ21" s="10">
        <v>449.27343149000001</v>
      </c>
      <c r="BA21" s="10">
        <v>506.52672845999996</v>
      </c>
      <c r="BB21" s="10">
        <v>579.53199075999999</v>
      </c>
      <c r="BC21" s="10">
        <v>482.13585912000002</v>
      </c>
      <c r="BD21" s="10">
        <v>633.31447141000001</v>
      </c>
      <c r="BE21" s="10">
        <v>764.75099944999999</v>
      </c>
      <c r="BF21" s="10">
        <v>648.74197963999995</v>
      </c>
      <c r="BG21" s="10">
        <v>691.87978405999991</v>
      </c>
      <c r="BH21" s="10">
        <v>745.87020790999998</v>
      </c>
      <c r="BI21" s="11">
        <v>773.66253702999995</v>
      </c>
      <c r="BJ21" s="10">
        <v>1090.9465273599999</v>
      </c>
      <c r="BK21" s="10">
        <v>761.43547870000009</v>
      </c>
      <c r="BL21" s="10">
        <v>1066.9511420399999</v>
      </c>
      <c r="BM21" s="10">
        <v>1288.61780294</v>
      </c>
      <c r="BN21" s="10">
        <v>1714.5209987799999</v>
      </c>
      <c r="BO21" s="10">
        <v>1961.4469344399999</v>
      </c>
      <c r="BP21" s="10">
        <v>2821.08082023</v>
      </c>
      <c r="BQ21" s="10">
        <v>2258.8938074299999</v>
      </c>
      <c r="BR21" s="10">
        <v>2588.9128620900001</v>
      </c>
      <c r="BS21" s="10">
        <v>3680.4548964200003</v>
      </c>
      <c r="BT21" s="10">
        <v>2928.5341489799998</v>
      </c>
      <c r="BU21" s="11">
        <v>2624.9528491799997</v>
      </c>
      <c r="BV21" s="10">
        <v>3373.1460140300001</v>
      </c>
      <c r="BW21" s="10">
        <v>2918.2375627900001</v>
      </c>
      <c r="BX21" s="10">
        <v>2901.59936763</v>
      </c>
      <c r="BY21" s="10">
        <v>2697.44269364</v>
      </c>
      <c r="BZ21" s="10">
        <v>3474.3722983800003</v>
      </c>
      <c r="CA21" s="10">
        <v>2979.7570697699998</v>
      </c>
      <c r="CB21" s="10">
        <v>3325.3785127699998</v>
      </c>
      <c r="CC21" s="10">
        <v>3249.71592947</v>
      </c>
      <c r="CD21" s="10">
        <v>3355.8741489200002</v>
      </c>
      <c r="CE21" s="10">
        <v>3340.2311707700001</v>
      </c>
      <c r="CF21" s="10">
        <v>2824.4680044699999</v>
      </c>
      <c r="CG21" s="11">
        <v>3406.7130374899998</v>
      </c>
      <c r="CH21" s="10">
        <f>3804434041.85/1000000</f>
        <v>3804.4340418500001</v>
      </c>
      <c r="CI21" s="10">
        <v>3211.7739841100001</v>
      </c>
      <c r="CJ21" s="10">
        <v>3399.9899646100002</v>
      </c>
      <c r="CK21" s="10">
        <v>4445.8579929300004</v>
      </c>
      <c r="CL21" s="10">
        <v>3741.4972899299996</v>
      </c>
      <c r="CM21" s="10">
        <v>3810.2558212399999</v>
      </c>
      <c r="CN21" s="10">
        <v>3533.4585183200002</v>
      </c>
      <c r="CO21" s="10"/>
    </row>
    <row r="22" spans="1:93" s="12" customFormat="1" x14ac:dyDescent="0.2">
      <c r="A22" s="9" t="s">
        <v>19</v>
      </c>
      <c r="B22" s="10">
        <v>492.91565399999996</v>
      </c>
      <c r="C22" s="10">
        <v>460.17218500000007</v>
      </c>
      <c r="D22" s="10">
        <v>426.82094700000005</v>
      </c>
      <c r="E22" s="10">
        <v>475.35</v>
      </c>
      <c r="F22" s="10">
        <v>486.15136300000012</v>
      </c>
      <c r="G22" s="10">
        <v>604.34009100000003</v>
      </c>
      <c r="H22" s="10">
        <v>500.95083699999981</v>
      </c>
      <c r="I22" s="10">
        <v>586.99839899999972</v>
      </c>
      <c r="J22" s="10">
        <v>558.06766200000004</v>
      </c>
      <c r="K22" s="10">
        <v>567.86</v>
      </c>
      <c r="L22" s="10">
        <v>619.28</v>
      </c>
      <c r="M22" s="11">
        <v>636.66999999999996</v>
      </c>
      <c r="N22" s="10">
        <v>612.45000000000005</v>
      </c>
      <c r="O22" s="10">
        <v>599.79</v>
      </c>
      <c r="P22" s="10">
        <v>500.19</v>
      </c>
      <c r="Q22" s="10">
        <v>333.77</v>
      </c>
      <c r="R22" s="10">
        <v>387.76</v>
      </c>
      <c r="S22" s="10">
        <v>597.29</v>
      </c>
      <c r="T22" s="10">
        <v>701.31</v>
      </c>
      <c r="U22" s="10">
        <v>715.26</v>
      </c>
      <c r="V22" s="10">
        <v>784.29</v>
      </c>
      <c r="W22" s="10">
        <v>720.82</v>
      </c>
      <c r="X22" s="10">
        <v>846.04</v>
      </c>
      <c r="Y22" s="11">
        <v>844.3</v>
      </c>
      <c r="Z22" s="10">
        <v>908.17</v>
      </c>
      <c r="AA22" s="10">
        <v>873.88</v>
      </c>
      <c r="AB22" s="10">
        <v>1054.6600000000001</v>
      </c>
      <c r="AC22" s="10">
        <v>1023.94</v>
      </c>
      <c r="AD22" s="10">
        <v>1077.3499999999999</v>
      </c>
      <c r="AE22" s="10">
        <v>1090.8900000000001</v>
      </c>
      <c r="AF22" s="10">
        <v>1202.8599999999999</v>
      </c>
      <c r="AG22" s="10">
        <v>1276.71</v>
      </c>
      <c r="AH22" s="10">
        <v>1376.74</v>
      </c>
      <c r="AI22" s="10">
        <v>1223.54</v>
      </c>
      <c r="AJ22" s="10">
        <v>1491.61</v>
      </c>
      <c r="AK22" s="11">
        <v>1428.17</v>
      </c>
      <c r="AL22" s="10">
        <v>1391.08</v>
      </c>
      <c r="AM22" s="10">
        <v>1406</v>
      </c>
      <c r="AN22" s="10">
        <v>1472.83</v>
      </c>
      <c r="AO22" s="10">
        <v>1667.81</v>
      </c>
      <c r="AP22" s="10">
        <v>1878.57</v>
      </c>
      <c r="AQ22" s="10">
        <v>2026.15</v>
      </c>
      <c r="AR22" s="10">
        <v>2034.62</v>
      </c>
      <c r="AS22" s="10">
        <v>2027.9</v>
      </c>
      <c r="AT22" s="10">
        <v>2268.8200000000002</v>
      </c>
      <c r="AU22" s="10">
        <v>2238.23</v>
      </c>
      <c r="AV22" s="10">
        <v>2324.62</v>
      </c>
      <c r="AW22" s="11">
        <v>2517.5700000000002</v>
      </c>
      <c r="AX22" s="10">
        <v>2477.4</v>
      </c>
      <c r="AY22" s="10">
        <v>2531.61</v>
      </c>
      <c r="AZ22" s="10">
        <v>2467.75</v>
      </c>
      <c r="BA22" s="10">
        <v>2966.89</v>
      </c>
      <c r="BB22" s="10">
        <v>3008.17</v>
      </c>
      <c r="BC22" s="10">
        <v>3465.75</v>
      </c>
      <c r="BD22" s="10">
        <v>3800.93</v>
      </c>
      <c r="BE22" s="10">
        <v>4253.82</v>
      </c>
      <c r="BF22" s="10">
        <v>4266.93</v>
      </c>
      <c r="BG22" s="10">
        <v>4359.59</v>
      </c>
      <c r="BH22" s="10">
        <v>4640.83</v>
      </c>
      <c r="BI22" s="11">
        <v>5986.44</v>
      </c>
      <c r="BJ22" s="10">
        <v>5506.35</v>
      </c>
      <c r="BK22" s="10">
        <v>6887.05</v>
      </c>
      <c r="BL22" s="10">
        <v>7332.8</v>
      </c>
      <c r="BM22" s="10">
        <v>6965.63</v>
      </c>
      <c r="BN22" s="10">
        <v>9580.7099999999991</v>
      </c>
      <c r="BO22" s="10">
        <v>10873.32</v>
      </c>
      <c r="BP22" s="10">
        <v>11262.51</v>
      </c>
      <c r="BQ22" s="10">
        <v>14235.09</v>
      </c>
      <c r="BR22" s="10">
        <v>13235.24</v>
      </c>
      <c r="BS22" s="10">
        <v>14718.01</v>
      </c>
      <c r="BT22" s="10">
        <v>14979.73</v>
      </c>
      <c r="BU22" s="11">
        <v>15185.41</v>
      </c>
      <c r="BV22" s="10">
        <v>17565.71</v>
      </c>
      <c r="BW22" s="10">
        <v>16743.3</v>
      </c>
      <c r="BX22" s="10">
        <v>16424.11</v>
      </c>
      <c r="BY22" s="10">
        <v>19459.330000000002</v>
      </c>
      <c r="BZ22" s="10">
        <v>17874.060000000001</v>
      </c>
      <c r="CA22" s="10">
        <v>19857.37</v>
      </c>
      <c r="CB22" s="10">
        <v>21952.04</v>
      </c>
      <c r="CC22" s="10">
        <v>23729.53</v>
      </c>
      <c r="CD22" s="10">
        <v>25335.75</v>
      </c>
      <c r="CE22" s="10">
        <v>24349.35</v>
      </c>
      <c r="CF22" s="10">
        <v>23930.84</v>
      </c>
      <c r="CG22" s="11">
        <v>22320.13</v>
      </c>
      <c r="CH22" s="10">
        <v>24494.92</v>
      </c>
      <c r="CI22" s="10">
        <v>22241.95</v>
      </c>
      <c r="CJ22" s="10">
        <v>21752.2</v>
      </c>
      <c r="CK22" s="10">
        <v>23269.32</v>
      </c>
      <c r="CL22" s="10">
        <v>23848.560000000001</v>
      </c>
      <c r="CM22" s="10">
        <v>24321.78</v>
      </c>
      <c r="CN22" s="10"/>
      <c r="CO22" s="10"/>
    </row>
    <row r="23" spans="1:93" s="12" customFormat="1" x14ac:dyDescent="0.2">
      <c r="A23" s="9" t="s">
        <v>53</v>
      </c>
      <c r="B23" s="10" t="s">
        <v>24</v>
      </c>
      <c r="C23" s="10" t="s">
        <v>24</v>
      </c>
      <c r="D23" s="10" t="s">
        <v>24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1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24</v>
      </c>
      <c r="S23" s="10" t="s">
        <v>24</v>
      </c>
      <c r="T23" s="10" t="s">
        <v>24</v>
      </c>
      <c r="U23" s="10" t="s">
        <v>24</v>
      </c>
      <c r="V23" s="10" t="s">
        <v>24</v>
      </c>
      <c r="W23" s="10" t="s">
        <v>24</v>
      </c>
      <c r="X23" s="10" t="s">
        <v>24</v>
      </c>
      <c r="Y23" s="11" t="s">
        <v>24</v>
      </c>
      <c r="Z23" s="10" t="s">
        <v>24</v>
      </c>
      <c r="AA23" s="10" t="s">
        <v>24</v>
      </c>
      <c r="AB23" s="10" t="s">
        <v>24</v>
      </c>
      <c r="AC23" s="10" t="s">
        <v>24</v>
      </c>
      <c r="AD23" s="10" t="s">
        <v>24</v>
      </c>
      <c r="AE23" s="10" t="s">
        <v>24</v>
      </c>
      <c r="AF23" s="10" t="s">
        <v>24</v>
      </c>
      <c r="AG23" s="10" t="s">
        <v>24</v>
      </c>
      <c r="AH23" s="10" t="s">
        <v>24</v>
      </c>
      <c r="AI23" s="10" t="s">
        <v>24</v>
      </c>
      <c r="AJ23" s="10" t="s">
        <v>24</v>
      </c>
      <c r="AK23" s="11" t="s">
        <v>24</v>
      </c>
      <c r="AL23" s="10" t="s">
        <v>24</v>
      </c>
      <c r="AM23" s="10" t="s">
        <v>24</v>
      </c>
      <c r="AN23" s="10" t="s">
        <v>24</v>
      </c>
      <c r="AO23" s="10" t="s">
        <v>24</v>
      </c>
      <c r="AP23" s="10" t="s">
        <v>24</v>
      </c>
      <c r="AQ23" s="10" t="s">
        <v>24</v>
      </c>
      <c r="AR23" s="10" t="s">
        <v>24</v>
      </c>
      <c r="AS23" s="10" t="s">
        <v>24</v>
      </c>
      <c r="AT23" s="10" t="s">
        <v>24</v>
      </c>
      <c r="AU23" s="10" t="s">
        <v>24</v>
      </c>
      <c r="AV23" s="10" t="s">
        <v>24</v>
      </c>
      <c r="AW23" s="11" t="s">
        <v>24</v>
      </c>
      <c r="AX23" s="10" t="s">
        <v>24</v>
      </c>
      <c r="AY23" s="10" t="s">
        <v>24</v>
      </c>
      <c r="AZ23" s="10" t="s">
        <v>24</v>
      </c>
      <c r="BA23" s="10" t="s">
        <v>24</v>
      </c>
      <c r="BB23" s="10" t="s">
        <v>24</v>
      </c>
      <c r="BC23" s="10" t="s">
        <v>24</v>
      </c>
      <c r="BD23" s="10" t="s">
        <v>24</v>
      </c>
      <c r="BE23" s="10" t="s">
        <v>24</v>
      </c>
      <c r="BF23" s="10" t="s">
        <v>24</v>
      </c>
      <c r="BG23" s="10" t="s">
        <v>24</v>
      </c>
      <c r="BH23" s="10" t="s">
        <v>24</v>
      </c>
      <c r="BI23" s="11" t="s">
        <v>24</v>
      </c>
      <c r="BJ23" s="10">
        <v>709.15106902999992</v>
      </c>
      <c r="BK23" s="10">
        <v>728.27077782000003</v>
      </c>
      <c r="BL23" s="10">
        <v>734.85745879000001</v>
      </c>
      <c r="BM23" s="10">
        <v>902.29850309000005</v>
      </c>
      <c r="BN23" s="10">
        <v>885.71737015999997</v>
      </c>
      <c r="BO23" s="10">
        <v>968.68733735000012</v>
      </c>
      <c r="BP23" s="10">
        <v>1290.3245978299999</v>
      </c>
      <c r="BQ23" s="10">
        <v>1343.2235830900001</v>
      </c>
      <c r="BR23" s="10">
        <v>1349.3000354799999</v>
      </c>
      <c r="BS23" s="10">
        <v>1579.8312715299999</v>
      </c>
      <c r="BT23" s="10">
        <v>1548.01277153</v>
      </c>
      <c r="BU23" s="11">
        <v>1312.5706423699999</v>
      </c>
      <c r="BV23" s="10">
        <v>1515.05970901</v>
      </c>
      <c r="BW23" s="10">
        <v>1275.83544949</v>
      </c>
      <c r="BX23" s="10">
        <v>1407.6053905899998</v>
      </c>
      <c r="BY23" s="10">
        <v>1442.40394223</v>
      </c>
      <c r="BZ23" s="10">
        <v>2253.5846053800001</v>
      </c>
      <c r="CA23" s="10">
        <v>2057.2754419299999</v>
      </c>
      <c r="CB23" s="10">
        <v>2325.4267919700001</v>
      </c>
      <c r="CC23" s="10">
        <v>2456.2140964199998</v>
      </c>
      <c r="CD23" s="10">
        <v>3114.3738418499997</v>
      </c>
      <c r="CE23" s="10">
        <v>3159.4783429399999</v>
      </c>
      <c r="CF23" s="10">
        <v>2841.6038251999998</v>
      </c>
      <c r="CG23" s="11">
        <v>1924.3093636900001</v>
      </c>
      <c r="CH23" s="10">
        <v>2089.90696596</v>
      </c>
      <c r="CI23" s="10">
        <v>2423.8183211700002</v>
      </c>
      <c r="CJ23" s="10">
        <v>1758.01197796</v>
      </c>
      <c r="CK23" s="10">
        <v>2125.3474186200001</v>
      </c>
      <c r="CL23" s="10">
        <v>2563.82906499</v>
      </c>
      <c r="CM23" s="10">
        <v>2317.6536343500002</v>
      </c>
      <c r="CN23" s="10">
        <v>2908.6070792699998</v>
      </c>
      <c r="CO23" s="10">
        <v>2885.6953714699998</v>
      </c>
    </row>
    <row r="24" spans="1:93" s="12" customFormat="1" x14ac:dyDescent="0.2">
      <c r="A24" s="9" t="s">
        <v>25</v>
      </c>
      <c r="B24" s="10">
        <v>27.60108718</v>
      </c>
      <c r="C24" s="10">
        <v>28.165654489999998</v>
      </c>
      <c r="D24" s="10">
        <v>27.027860140000001</v>
      </c>
      <c r="E24" s="10">
        <v>30.914418350000002</v>
      </c>
      <c r="F24" s="10">
        <v>36.116436710000002</v>
      </c>
      <c r="G24" s="10">
        <v>30.008825050000002</v>
      </c>
      <c r="H24" s="10">
        <v>32.635167539999998</v>
      </c>
      <c r="I24" s="10">
        <v>28.59806472</v>
      </c>
      <c r="J24" s="10">
        <v>40.57877362</v>
      </c>
      <c r="K24" s="10">
        <v>32.348848579999995</v>
      </c>
      <c r="L24" s="10">
        <v>35.330847630000001</v>
      </c>
      <c r="M24" s="11">
        <v>39.123647939999998</v>
      </c>
      <c r="N24" s="10">
        <v>34.173025609999996</v>
      </c>
      <c r="O24" s="10">
        <v>33.043812670000001</v>
      </c>
      <c r="P24" s="10">
        <v>38.569412219999997</v>
      </c>
      <c r="Q24" s="10">
        <v>19.628833449999998</v>
      </c>
      <c r="R24" s="10">
        <v>26.818321730000001</v>
      </c>
      <c r="S24" s="10">
        <v>33.170925910000001</v>
      </c>
      <c r="T24" s="10">
        <v>34.941072549999994</v>
      </c>
      <c r="U24" s="10">
        <v>44.778762239999999</v>
      </c>
      <c r="V24" s="10">
        <v>31.794263059999999</v>
      </c>
      <c r="W24" s="10">
        <v>53.007145450000003</v>
      </c>
      <c r="X24" s="10">
        <v>46.056077389999999</v>
      </c>
      <c r="Y24" s="11">
        <v>39.434785009999999</v>
      </c>
      <c r="Z24" s="10">
        <v>51.679549569999999</v>
      </c>
      <c r="AA24" s="10">
        <v>55.577458149999998</v>
      </c>
      <c r="AB24" s="10">
        <v>62.543507439999999</v>
      </c>
      <c r="AC24" s="10">
        <v>67.052879259999997</v>
      </c>
      <c r="AD24" s="10">
        <v>63.013728710000002</v>
      </c>
      <c r="AE24" s="10">
        <v>61.38451105</v>
      </c>
      <c r="AF24" s="10">
        <v>64.784527249999996</v>
      </c>
      <c r="AG24" s="10">
        <v>103.03446357999999</v>
      </c>
      <c r="AH24" s="10">
        <v>81.357146150000005</v>
      </c>
      <c r="AI24" s="10">
        <v>86.621924500000006</v>
      </c>
      <c r="AJ24" s="10">
        <v>97.062574519999998</v>
      </c>
      <c r="AK24" s="11">
        <v>83.867522170000001</v>
      </c>
      <c r="AL24" s="10">
        <v>92.733777400000008</v>
      </c>
      <c r="AM24" s="10">
        <v>85.583697889999996</v>
      </c>
      <c r="AN24" s="10">
        <v>105.55661305</v>
      </c>
      <c r="AO24" s="10">
        <v>123.58490259</v>
      </c>
      <c r="AP24" s="10">
        <v>104.29082879000001</v>
      </c>
      <c r="AQ24" s="10">
        <v>118.53629753</v>
      </c>
      <c r="AR24" s="10">
        <v>124.90422163</v>
      </c>
      <c r="AS24" s="10">
        <v>151.66346705000001</v>
      </c>
      <c r="AT24" s="10">
        <v>119.10558536000001</v>
      </c>
      <c r="AU24" s="10">
        <v>143.74431855</v>
      </c>
      <c r="AV24" s="10">
        <v>183.06769838999998</v>
      </c>
      <c r="AW24" s="11">
        <v>153.18040622000001</v>
      </c>
      <c r="AX24" s="10">
        <v>327.83566124999999</v>
      </c>
      <c r="AY24" s="10">
        <v>186.82824847000001</v>
      </c>
      <c r="AZ24" s="10">
        <v>226.14256169999999</v>
      </c>
      <c r="BA24" s="10">
        <v>274.82778389999999</v>
      </c>
      <c r="BB24" s="10">
        <v>245.85168887999998</v>
      </c>
      <c r="BC24" s="10">
        <v>234.51167552999999</v>
      </c>
      <c r="BD24" s="10">
        <v>314.67488957</v>
      </c>
      <c r="BE24" s="10">
        <v>349.99246309</v>
      </c>
      <c r="BF24" s="10">
        <v>365.52820167000004</v>
      </c>
      <c r="BG24" s="10">
        <v>353.72177655000002</v>
      </c>
      <c r="BH24" s="10">
        <v>476.19672138999999</v>
      </c>
      <c r="BI24" s="11">
        <v>455.51884516000001</v>
      </c>
      <c r="BJ24" s="10">
        <v>442.09464594000002</v>
      </c>
      <c r="BK24" s="10">
        <v>517.90104138000004</v>
      </c>
      <c r="BL24" s="10">
        <v>702.32698309</v>
      </c>
      <c r="BM24" s="10">
        <v>699.81497378999995</v>
      </c>
      <c r="BN24" s="10">
        <v>703.68797004999999</v>
      </c>
      <c r="BO24" s="10">
        <v>985.5231344</v>
      </c>
      <c r="BP24" s="10">
        <v>1138.49757512</v>
      </c>
      <c r="BQ24" s="10">
        <v>1025.59344951</v>
      </c>
      <c r="BR24" s="10">
        <v>1248.23624829</v>
      </c>
      <c r="BS24" s="10">
        <v>1274.9215507700001</v>
      </c>
      <c r="BT24" s="10">
        <v>1485.77694096</v>
      </c>
      <c r="BU24" s="11">
        <v>1401.98959046</v>
      </c>
      <c r="BV24" s="10">
        <v>1714.6623086900001</v>
      </c>
      <c r="BW24" s="10">
        <v>1511.4918180899999</v>
      </c>
      <c r="BX24" s="10">
        <v>1821.3511064900001</v>
      </c>
      <c r="BY24" s="10">
        <v>1472.22633365</v>
      </c>
      <c r="BZ24" s="10">
        <v>1837.27058975</v>
      </c>
      <c r="CA24" s="10">
        <v>1631.25033246</v>
      </c>
      <c r="CB24" s="10">
        <v>1685.9031194900001</v>
      </c>
      <c r="CC24" s="10">
        <v>1926.5841781099998</v>
      </c>
      <c r="CD24" s="10">
        <v>2001.7622049000001</v>
      </c>
      <c r="CE24" s="10">
        <v>1483.47303969</v>
      </c>
      <c r="CF24" s="10">
        <v>2486.59368838</v>
      </c>
      <c r="CG24" s="11">
        <v>1764.7126164599999</v>
      </c>
      <c r="CH24" s="10">
        <v>1996.8372934200002</v>
      </c>
      <c r="CI24" s="10">
        <v>2070.7690524300001</v>
      </c>
      <c r="CJ24" s="10">
        <v>1857.5492741600001</v>
      </c>
      <c r="CK24" s="10">
        <v>2012.4578589300002</v>
      </c>
      <c r="CL24" s="10">
        <v>2163.8596822600002</v>
      </c>
      <c r="CM24" s="10">
        <v>1974.1528938900001</v>
      </c>
      <c r="CN24" s="10">
        <v>2000.87423724</v>
      </c>
      <c r="CO24" s="10"/>
    </row>
    <row r="25" spans="1:93" s="12" customFormat="1" x14ac:dyDescent="0.2">
      <c r="A25" s="9" t="s">
        <v>20</v>
      </c>
      <c r="B25" s="10">
        <v>151.77203299999999</v>
      </c>
      <c r="C25" s="10">
        <v>127.518542</v>
      </c>
      <c r="D25" s="10">
        <v>160.75462099999999</v>
      </c>
      <c r="E25" s="10">
        <v>145.27616599999999</v>
      </c>
      <c r="F25" s="10">
        <v>140.27200199999999</v>
      </c>
      <c r="G25" s="10">
        <v>138.45084700000001</v>
      </c>
      <c r="H25" s="10">
        <v>149.729375</v>
      </c>
      <c r="I25" s="10">
        <v>158.86514299999999</v>
      </c>
      <c r="J25" s="10">
        <v>173.439156</v>
      </c>
      <c r="K25" s="10">
        <v>174.431074</v>
      </c>
      <c r="L25" s="10">
        <v>168.97606099999999</v>
      </c>
      <c r="M25" s="11">
        <v>189.16376099999999</v>
      </c>
      <c r="N25" s="10">
        <v>189.70711700000001</v>
      </c>
      <c r="O25" s="10">
        <v>163.51719600000001</v>
      </c>
      <c r="P25" s="10">
        <v>146.84871999999999</v>
      </c>
      <c r="Q25" s="10">
        <v>124.577232</v>
      </c>
      <c r="R25" s="10">
        <v>116.803219</v>
      </c>
      <c r="S25" s="10">
        <v>152.30550500000001</v>
      </c>
      <c r="T25" s="10">
        <v>195.68208999999999</v>
      </c>
      <c r="U25" s="10">
        <v>213.37160800000001</v>
      </c>
      <c r="V25" s="10">
        <v>214.53896399999999</v>
      </c>
      <c r="W25" s="10">
        <v>242.02858900000001</v>
      </c>
      <c r="X25" s="10">
        <v>252.32660999999999</v>
      </c>
      <c r="Y25" s="11">
        <v>264.49311399999999</v>
      </c>
      <c r="Z25" s="10">
        <v>277.00764199999998</v>
      </c>
      <c r="AA25" s="10">
        <v>253.60314099999999</v>
      </c>
      <c r="AB25" s="10">
        <v>290.61291799999998</v>
      </c>
      <c r="AC25" s="10">
        <v>329.95</v>
      </c>
      <c r="AD25" s="10">
        <v>322.19430199999999</v>
      </c>
      <c r="AE25" s="10">
        <v>287.39457700000003</v>
      </c>
      <c r="AF25" s="10">
        <v>313.82047699999998</v>
      </c>
      <c r="AG25" s="10">
        <v>332.75418999999999</v>
      </c>
      <c r="AH25" s="10">
        <v>364.94582700000001</v>
      </c>
      <c r="AI25" s="10">
        <v>391.78364499999998</v>
      </c>
      <c r="AJ25" s="10">
        <v>376.90446200000002</v>
      </c>
      <c r="AK25" s="11">
        <v>399.05914899999999</v>
      </c>
      <c r="AL25" s="10">
        <v>424.61007999999998</v>
      </c>
      <c r="AM25" s="10">
        <v>375.26731100000001</v>
      </c>
      <c r="AN25" s="10">
        <v>418.127476</v>
      </c>
      <c r="AO25" s="10">
        <v>480.346474</v>
      </c>
      <c r="AP25" s="10">
        <v>494.69145400000002</v>
      </c>
      <c r="AQ25" s="10">
        <v>531.29431299999999</v>
      </c>
      <c r="AR25" s="10">
        <v>602.43783499999995</v>
      </c>
      <c r="AS25" s="10">
        <v>622.84232899999995</v>
      </c>
      <c r="AT25" s="10">
        <v>604.85585200000003</v>
      </c>
      <c r="AU25" s="10">
        <v>705.29955299999995</v>
      </c>
      <c r="AV25" s="10">
        <v>683.00706700000001</v>
      </c>
      <c r="AW25" s="11">
        <v>717.39632500000005</v>
      </c>
      <c r="AX25" s="10">
        <v>793.20349399999998</v>
      </c>
      <c r="AY25" s="10">
        <v>747.60398599999996</v>
      </c>
      <c r="AZ25" s="10">
        <v>827.58096599999999</v>
      </c>
      <c r="BA25" s="10">
        <v>998.408817</v>
      </c>
      <c r="BB25" s="10">
        <v>1044.2259799999999</v>
      </c>
      <c r="BC25" s="10">
        <v>1077.9117429999999</v>
      </c>
      <c r="BD25" s="10">
        <v>1220.2150509999999</v>
      </c>
      <c r="BE25" s="10">
        <v>1288.886344</v>
      </c>
      <c r="BF25" s="10">
        <v>1388.934021</v>
      </c>
      <c r="BG25" s="10">
        <v>1469.368757</v>
      </c>
      <c r="BH25" s="10">
        <v>1618.8111039999999</v>
      </c>
      <c r="BI25" s="11">
        <v>1783.869312</v>
      </c>
      <c r="BJ25" s="10">
        <v>2227.9345400000002</v>
      </c>
      <c r="BK25" s="10">
        <v>2421.079459</v>
      </c>
      <c r="BL25" s="10">
        <v>2966.5276279999998</v>
      </c>
      <c r="BM25" s="10">
        <v>3443.7100810000002</v>
      </c>
      <c r="BN25" s="10">
        <v>3962.6235830000001</v>
      </c>
      <c r="BO25" s="10">
        <v>4843.6167569999998</v>
      </c>
      <c r="BP25" s="10">
        <v>4988.5852029999996</v>
      </c>
      <c r="BQ25" s="10">
        <v>5511.6978079999999</v>
      </c>
      <c r="BR25" s="10">
        <v>6164.2307819999996</v>
      </c>
      <c r="BS25" s="10">
        <v>5933.9293109999999</v>
      </c>
      <c r="BT25" s="10">
        <v>6800.7877200000003</v>
      </c>
      <c r="BU25" s="11">
        <v>7116.3582260000003</v>
      </c>
      <c r="BV25" s="10">
        <v>7804.9337930000002</v>
      </c>
      <c r="BW25" s="10">
        <v>8503.3654220000008</v>
      </c>
      <c r="BX25" s="10">
        <v>8919.3089189999992</v>
      </c>
      <c r="BY25" s="10">
        <v>9678.4736489999996</v>
      </c>
      <c r="BZ25" s="10">
        <v>10683.922113000001</v>
      </c>
      <c r="CA25" s="10">
        <v>10204.698012000001</v>
      </c>
      <c r="CB25" s="10">
        <v>9950.1128360000002</v>
      </c>
      <c r="CC25" s="10">
        <v>11722.51476</v>
      </c>
      <c r="CD25" s="10">
        <v>10654.142891</v>
      </c>
      <c r="CE25" s="10">
        <v>10168.272317000001</v>
      </c>
      <c r="CF25" s="10">
        <v>10815.966367000001</v>
      </c>
      <c r="CG25" s="11">
        <v>10145.219220000001</v>
      </c>
      <c r="CH25" s="10">
        <v>12526.253978999999</v>
      </c>
      <c r="CI25" s="10">
        <v>10843.025987000001</v>
      </c>
      <c r="CJ25" s="10">
        <v>11356.826518</v>
      </c>
      <c r="CK25" s="10">
        <v>11278.111937</v>
      </c>
      <c r="CL25" s="10">
        <v>11802.915779000001</v>
      </c>
      <c r="CM25" s="10">
        <v>11895.28117</v>
      </c>
      <c r="CN25" s="10">
        <v>11663.638940999999</v>
      </c>
      <c r="CO25" s="10"/>
    </row>
    <row r="26" spans="1:93" s="12" customFormat="1" ht="12" thickBot="1" x14ac:dyDescent="0.3">
      <c r="A26" s="13" t="s">
        <v>1</v>
      </c>
      <c r="B26" s="14">
        <f t="shared" ref="B26:AG26" si="0">SUM(B2:B25)</f>
        <v>6542.8487394599997</v>
      </c>
      <c r="C26" s="15">
        <f t="shared" si="0"/>
        <v>6141.8208248500005</v>
      </c>
      <c r="D26" s="15">
        <f t="shared" si="0"/>
        <v>5885.9618331700003</v>
      </c>
      <c r="E26" s="15">
        <f t="shared" si="0"/>
        <v>6249.8353303399999</v>
      </c>
      <c r="F26" s="15">
        <f t="shared" si="0"/>
        <v>6756.4633030800014</v>
      </c>
      <c r="G26" s="15">
        <f t="shared" si="0"/>
        <v>7120.89569003</v>
      </c>
      <c r="H26" s="15">
        <f t="shared" si="0"/>
        <v>6756.5892428899988</v>
      </c>
      <c r="I26" s="15">
        <f t="shared" si="0"/>
        <v>7796.4239784699985</v>
      </c>
      <c r="J26" s="15">
        <f t="shared" si="0"/>
        <v>7798.9564643600024</v>
      </c>
      <c r="K26" s="15">
        <f t="shared" si="0"/>
        <v>7775.8554965200001</v>
      </c>
      <c r="L26" s="15">
        <f t="shared" si="0"/>
        <v>8365.3727616499982</v>
      </c>
      <c r="M26" s="16">
        <f t="shared" si="0"/>
        <v>7973.78152976</v>
      </c>
      <c r="N26" s="14">
        <f t="shared" si="0"/>
        <v>8613.3466579899978</v>
      </c>
      <c r="O26" s="15">
        <f t="shared" si="0"/>
        <v>7730.0997782400009</v>
      </c>
      <c r="P26" s="15">
        <f t="shared" si="0"/>
        <v>6964.1518534700008</v>
      </c>
      <c r="Q26" s="15">
        <f t="shared" si="0"/>
        <v>5124.6295463399993</v>
      </c>
      <c r="R26" s="15">
        <f t="shared" si="0"/>
        <v>4924.954155370001</v>
      </c>
      <c r="S26" s="15">
        <f t="shared" si="0"/>
        <v>6875.2620407799996</v>
      </c>
      <c r="T26" s="15">
        <f t="shared" si="0"/>
        <v>7874.1144838300006</v>
      </c>
      <c r="U26" s="15">
        <f t="shared" si="0"/>
        <v>9274.2757831199979</v>
      </c>
      <c r="V26" s="15">
        <f t="shared" si="0"/>
        <v>9436.4080006399981</v>
      </c>
      <c r="W26" s="15">
        <f t="shared" si="0"/>
        <v>10520.875721779998</v>
      </c>
      <c r="X26" s="15">
        <f t="shared" si="0"/>
        <v>11610.741503289999</v>
      </c>
      <c r="Y26" s="16">
        <f t="shared" si="0"/>
        <v>11656.697685500001</v>
      </c>
      <c r="Z26" s="14">
        <f t="shared" si="0"/>
        <v>12082.520977870001</v>
      </c>
      <c r="AA26" s="15">
        <f t="shared" si="0"/>
        <v>12930.511078540001</v>
      </c>
      <c r="AB26" s="15">
        <f t="shared" si="0"/>
        <v>13538.749571680002</v>
      </c>
      <c r="AC26" s="15">
        <f t="shared" si="0"/>
        <v>16058.163929210003</v>
      </c>
      <c r="AD26" s="15">
        <f t="shared" si="0"/>
        <v>15217.187097610002</v>
      </c>
      <c r="AE26" s="15">
        <f t="shared" si="0"/>
        <v>14610.431386760003</v>
      </c>
      <c r="AF26" s="15">
        <f t="shared" si="0"/>
        <v>16696.790999830002</v>
      </c>
      <c r="AG26" s="15">
        <f t="shared" si="0"/>
        <v>18601.691156050001</v>
      </c>
      <c r="AH26" s="15">
        <f t="shared" ref="AH26:CO26" si="1">SUM(AH2:AH25)</f>
        <v>18267.384162980001</v>
      </c>
      <c r="AI26" s="15">
        <f t="shared" si="1"/>
        <v>18921.389399520001</v>
      </c>
      <c r="AJ26" s="15">
        <f t="shared" si="1"/>
        <v>19762.206079449999</v>
      </c>
      <c r="AK26" s="16">
        <f t="shared" si="1"/>
        <v>20787.347881439997</v>
      </c>
      <c r="AL26" s="14">
        <f t="shared" si="1"/>
        <v>21391.194497009998</v>
      </c>
      <c r="AM26" s="15">
        <f t="shared" si="1"/>
        <v>19959.744344459999</v>
      </c>
      <c r="AN26" s="15">
        <f t="shared" si="1"/>
        <v>20515.615716030006</v>
      </c>
      <c r="AO26" s="15">
        <f t="shared" si="1"/>
        <v>25732.592254790008</v>
      </c>
      <c r="AP26" s="15">
        <f t="shared" si="1"/>
        <v>25904.598850329996</v>
      </c>
      <c r="AQ26" s="15">
        <f t="shared" si="1"/>
        <v>26972.906905309999</v>
      </c>
      <c r="AR26" s="15">
        <f t="shared" si="1"/>
        <v>29830.689174550003</v>
      </c>
      <c r="AS26" s="15">
        <f t="shared" si="1"/>
        <v>33197.729797020009</v>
      </c>
      <c r="AT26" s="15">
        <f t="shared" si="1"/>
        <v>33078.209532060006</v>
      </c>
      <c r="AU26" s="15">
        <f t="shared" si="1"/>
        <v>33917.732688719996</v>
      </c>
      <c r="AV26" s="15">
        <f t="shared" si="1"/>
        <v>34066.128395579995</v>
      </c>
      <c r="AW26" s="16">
        <f t="shared" si="1"/>
        <v>34754.282480410002</v>
      </c>
      <c r="AX26" s="14">
        <f t="shared" si="1"/>
        <v>42224.531546639999</v>
      </c>
      <c r="AY26" s="15">
        <f t="shared" si="1"/>
        <v>39695.075529000002</v>
      </c>
      <c r="AZ26" s="15">
        <f t="shared" si="1"/>
        <v>38736.693056110002</v>
      </c>
      <c r="BA26" s="15">
        <f t="shared" si="1"/>
        <v>45604.324070890012</v>
      </c>
      <c r="BB26" s="15">
        <f t="shared" si="1"/>
        <v>44767.499981769994</v>
      </c>
      <c r="BC26" s="15">
        <f t="shared" si="1"/>
        <v>49479.575634649998</v>
      </c>
      <c r="BD26" s="15">
        <f t="shared" si="1"/>
        <v>55361.332975609999</v>
      </c>
      <c r="BE26" s="15">
        <f t="shared" si="1"/>
        <v>62207.126036459995</v>
      </c>
      <c r="BF26" s="15">
        <f t="shared" si="1"/>
        <v>66423.438279770198</v>
      </c>
      <c r="BG26" s="15">
        <f t="shared" si="1"/>
        <v>70273.629321049986</v>
      </c>
      <c r="BH26" s="15">
        <f t="shared" si="1"/>
        <v>79174.002128869994</v>
      </c>
      <c r="BI26" s="16">
        <f t="shared" si="1"/>
        <v>83249.595513029999</v>
      </c>
      <c r="BJ26" s="14">
        <f t="shared" si="1"/>
        <v>94387.071461113024</v>
      </c>
      <c r="BK26" s="15">
        <f t="shared" si="1"/>
        <v>99649.808057400005</v>
      </c>
      <c r="BL26" s="15">
        <f t="shared" si="1"/>
        <v>119497.29354983996</v>
      </c>
      <c r="BM26" s="15">
        <f t="shared" si="1"/>
        <v>131540.14087386001</v>
      </c>
      <c r="BN26" s="15">
        <f t="shared" si="1"/>
        <v>156252.09994282998</v>
      </c>
      <c r="BO26" s="15">
        <f t="shared" si="1"/>
        <v>184016.47545873007</v>
      </c>
      <c r="BP26" s="15">
        <f t="shared" si="1"/>
        <v>188594.09951029008</v>
      </c>
      <c r="BQ26" s="15">
        <f t="shared" si="1"/>
        <v>225669.00730391993</v>
      </c>
      <c r="BR26" s="15">
        <f t="shared" si="1"/>
        <v>233953.90591977001</v>
      </c>
      <c r="BS26" s="15">
        <f t="shared" si="1"/>
        <v>239354.07746631</v>
      </c>
      <c r="BT26" s="15">
        <f t="shared" si="1"/>
        <v>261335.74266093998</v>
      </c>
      <c r="BU26" s="16">
        <f t="shared" si="1"/>
        <v>254328.39535713004</v>
      </c>
      <c r="BV26" s="14">
        <f t="shared" si="1"/>
        <v>294643.72682700003</v>
      </c>
      <c r="BW26" s="15">
        <f t="shared" si="1"/>
        <v>269479.51114089997</v>
      </c>
      <c r="BX26" s="15">
        <f t="shared" si="1"/>
        <v>274523.35846940998</v>
      </c>
      <c r="BY26" s="15">
        <f t="shared" si="1"/>
        <v>308412.56256889005</v>
      </c>
      <c r="BZ26" s="15">
        <f t="shared" si="1"/>
        <v>323105.1328302701</v>
      </c>
      <c r="CA26" s="15">
        <f t="shared" si="1"/>
        <v>328832.77998008998</v>
      </c>
      <c r="CB26" s="15">
        <f t="shared" si="1"/>
        <v>349061.40704358002</v>
      </c>
      <c r="CC26" s="15">
        <f t="shared" si="1"/>
        <v>372281.60568828002</v>
      </c>
      <c r="CD26" s="15">
        <f t="shared" si="1"/>
        <v>379203.18072278</v>
      </c>
      <c r="CE26" s="15">
        <f t="shared" si="1"/>
        <v>367695.63617449004</v>
      </c>
      <c r="CF26" s="15">
        <f t="shared" si="1"/>
        <v>369843.73323228006</v>
      </c>
      <c r="CG26" s="16">
        <f t="shared" si="1"/>
        <v>347913.80471587001</v>
      </c>
      <c r="CH26" s="14">
        <f>SUM(CH2:CH25)</f>
        <v>412520.56397735787</v>
      </c>
      <c r="CI26" s="15">
        <f t="shared" si="1"/>
        <v>351333.25026036007</v>
      </c>
      <c r="CJ26" s="15">
        <f t="shared" si="1"/>
        <v>364101.83818130998</v>
      </c>
      <c r="CK26" s="15">
        <f t="shared" si="1"/>
        <v>379961.83327625989</v>
      </c>
      <c r="CL26" s="15">
        <f t="shared" si="1"/>
        <v>385217.73026547011</v>
      </c>
      <c r="CM26" s="15">
        <f t="shared" si="1"/>
        <v>376508.34768211993</v>
      </c>
      <c r="CN26" s="15">
        <f t="shared" si="1"/>
        <v>369859.89694147994</v>
      </c>
      <c r="CO26" s="15">
        <f t="shared" si="1"/>
        <v>186560.84526586006</v>
      </c>
    </row>
    <row r="27" spans="1:93" ht="12" thickTop="1" x14ac:dyDescent="0.25">
      <c r="A27" s="9"/>
      <c r="B27" s="17"/>
      <c r="C27" s="17"/>
      <c r="D27" s="17"/>
      <c r="E27" s="12"/>
      <c r="F27" s="12"/>
      <c r="G27" s="12"/>
      <c r="H27" s="12"/>
      <c r="N27" s="17"/>
      <c r="O27" s="17"/>
      <c r="P27" s="17"/>
      <c r="Q27" s="12"/>
      <c r="R27" s="12"/>
      <c r="S27" s="12"/>
      <c r="T27" s="12"/>
      <c r="Z27" s="17"/>
      <c r="AA27" s="17"/>
      <c r="AB27" s="17"/>
      <c r="AC27" s="12"/>
      <c r="AD27" s="12"/>
      <c r="AE27" s="12"/>
      <c r="AF27" s="12"/>
      <c r="AL27" s="17"/>
      <c r="AM27" s="17"/>
      <c r="AN27" s="17"/>
      <c r="AO27" s="12"/>
      <c r="AP27" s="12"/>
      <c r="AQ27" s="12"/>
      <c r="AR27" s="12"/>
      <c r="AX27" s="17"/>
      <c r="AY27" s="17"/>
      <c r="AZ27" s="17"/>
      <c r="BA27" s="12"/>
      <c r="BB27" s="12"/>
      <c r="BC27" s="12"/>
      <c r="BD27" s="12"/>
      <c r="BJ27" s="17"/>
      <c r="BK27" s="17"/>
      <c r="BL27" s="17"/>
      <c r="BM27" s="12"/>
      <c r="BN27" s="12"/>
      <c r="BO27" s="12"/>
      <c r="BP27" s="12"/>
      <c r="BV27" s="17"/>
      <c r="BW27" s="17"/>
      <c r="BX27" s="17"/>
      <c r="BY27" s="12"/>
      <c r="BZ27" s="12"/>
      <c r="CA27" s="12"/>
      <c r="CB27" s="12"/>
      <c r="CH27" s="17"/>
      <c r="CI27" s="17"/>
      <c r="CJ27" s="17"/>
      <c r="CK27" s="17"/>
      <c r="CL27" s="17"/>
      <c r="CM27" s="17"/>
      <c r="CN27" s="17"/>
      <c r="CO27" s="17"/>
    </row>
    <row r="28" spans="1:93" x14ac:dyDescent="0.25">
      <c r="A28" s="23" t="s">
        <v>62</v>
      </c>
      <c r="B28" s="19"/>
      <c r="D28" s="19"/>
      <c r="E28" s="19"/>
      <c r="N28" s="19"/>
      <c r="P28" s="19"/>
      <c r="Q28" s="19"/>
      <c r="Z28" s="19"/>
      <c r="AB28" s="19"/>
      <c r="AC28" s="19"/>
      <c r="AL28" s="19"/>
      <c r="AN28" s="19"/>
      <c r="AO28" s="19"/>
      <c r="AX28" s="19"/>
      <c r="AZ28" s="19"/>
      <c r="BA28" s="19"/>
      <c r="BJ28" s="19"/>
      <c r="BL28" s="19"/>
      <c r="BM28" s="19"/>
      <c r="BV28" s="19"/>
      <c r="BX28" s="19"/>
      <c r="BY28" s="19"/>
      <c r="CH28" s="19"/>
    </row>
    <row r="29" spans="1:93" x14ac:dyDescent="0.25">
      <c r="A29" s="18"/>
      <c r="B29" s="19"/>
      <c r="D29" s="19"/>
      <c r="E29" s="19"/>
      <c r="N29" s="19"/>
      <c r="P29" s="19"/>
      <c r="Q29" s="19"/>
      <c r="Z29" s="19"/>
      <c r="AB29" s="19"/>
      <c r="AC29" s="19"/>
      <c r="AL29" s="19"/>
      <c r="AN29" s="19"/>
      <c r="AO29" s="19"/>
      <c r="AX29" s="19"/>
      <c r="AZ29" s="19"/>
      <c r="BA29" s="19"/>
      <c r="BJ29" s="19"/>
      <c r="BL29" s="19"/>
      <c r="BM29" s="19"/>
      <c r="BV29" s="19"/>
      <c r="BX29" s="19"/>
      <c r="BY29" s="19"/>
      <c r="CH29" s="19"/>
    </row>
    <row r="30" spans="1:93" x14ac:dyDescent="0.25">
      <c r="B30" s="21"/>
      <c r="C30" s="21"/>
      <c r="D30" s="21"/>
      <c r="N30" s="21"/>
      <c r="O30" s="21"/>
      <c r="P30" s="21"/>
      <c r="Z30" s="21"/>
      <c r="AA30" s="21"/>
      <c r="AB30" s="21"/>
      <c r="AL30" s="21"/>
      <c r="AM30" s="21"/>
      <c r="AN30" s="21"/>
      <c r="AX30" s="21"/>
      <c r="AY30" s="21"/>
      <c r="AZ30" s="21"/>
      <c r="BJ30" s="21"/>
      <c r="BK30" s="21"/>
      <c r="BL30" s="21"/>
      <c r="BV30" s="21"/>
      <c r="BW30" s="21"/>
      <c r="BX30" s="21"/>
      <c r="CH30" s="21"/>
      <c r="CI30" s="21"/>
      <c r="CJ30" s="21"/>
      <c r="CK30" s="21"/>
      <c r="CL30" s="21"/>
      <c r="CM30" s="21"/>
      <c r="CN30" s="21"/>
      <c r="CO30" s="21"/>
    </row>
    <row r="31" spans="1:93" x14ac:dyDescent="0.2">
      <c r="B31" s="24">
        <v>189.61009999999999</v>
      </c>
      <c r="C31" s="24">
        <v>196.7501</v>
      </c>
      <c r="D31" s="24">
        <v>205.9571</v>
      </c>
      <c r="E31" s="24">
        <v>213.05170000000001</v>
      </c>
      <c r="F31" s="24">
        <v>219.56909999999999</v>
      </c>
      <c r="G31" s="24">
        <v>225.53700000000001</v>
      </c>
      <c r="H31" s="24">
        <v>230.494</v>
      </c>
      <c r="I31" s="24">
        <v>239.60769999999999</v>
      </c>
      <c r="J31" s="24">
        <v>253.71019999999999</v>
      </c>
      <c r="K31" s="24">
        <v>262.06610000000001</v>
      </c>
      <c r="L31" s="24">
        <v>273.2158</v>
      </c>
      <c r="M31" s="24">
        <v>283.44420000000002</v>
      </c>
      <c r="N31" s="24">
        <v>289.82990000000001</v>
      </c>
      <c r="O31" s="24">
        <v>295.666</v>
      </c>
      <c r="P31" s="24">
        <v>305.55149999999998</v>
      </c>
      <c r="Q31" s="24">
        <v>310.12430000000001</v>
      </c>
      <c r="R31" s="24">
        <v>314.90870000000001</v>
      </c>
      <c r="S31" s="24">
        <v>321.97379999999998</v>
      </c>
      <c r="T31" s="24">
        <v>328.20139999999998</v>
      </c>
      <c r="U31" s="24">
        <v>337.06319999999999</v>
      </c>
      <c r="V31" s="24">
        <v>346.6207</v>
      </c>
      <c r="W31" s="24">
        <v>359.65699999999998</v>
      </c>
      <c r="X31" s="24">
        <v>371.02109999999999</v>
      </c>
      <c r="Y31" s="24">
        <v>385.88260000000002</v>
      </c>
      <c r="Z31" s="24">
        <v>401.50709999999998</v>
      </c>
      <c r="AA31" s="24">
        <v>415.85950000000003</v>
      </c>
      <c r="AB31" s="24">
        <v>435.8657</v>
      </c>
      <c r="AC31" s="24">
        <v>453.65030000000002</v>
      </c>
      <c r="AD31" s="24">
        <v>468.72500000000002</v>
      </c>
      <c r="AE31" s="24">
        <v>483.60489999999999</v>
      </c>
      <c r="AF31" s="24">
        <v>498.09870000000001</v>
      </c>
      <c r="AG31" s="24">
        <v>510.39420000000001</v>
      </c>
      <c r="AH31" s="24">
        <v>528.49680000000001</v>
      </c>
      <c r="AI31" s="24">
        <v>547.08019999999999</v>
      </c>
      <c r="AJ31" s="24">
        <v>560.91840000000002</v>
      </c>
      <c r="AK31" s="24">
        <v>582.45749999999998</v>
      </c>
      <c r="AL31" s="24">
        <v>605.0317</v>
      </c>
      <c r="AM31" s="24">
        <v>633.43409999999994</v>
      </c>
      <c r="AN31" s="24">
        <v>676.0566</v>
      </c>
      <c r="AO31" s="24">
        <v>716.93989999999997</v>
      </c>
      <c r="AP31" s="24">
        <v>753.14700000000005</v>
      </c>
      <c r="AQ31" s="24">
        <v>793.02779999999996</v>
      </c>
      <c r="AR31" s="24">
        <v>851.76099999999997</v>
      </c>
      <c r="AS31" s="24">
        <v>911.13160000000005</v>
      </c>
      <c r="AT31" s="24">
        <v>967.30759999999998</v>
      </c>
      <c r="AU31" s="24">
        <v>1028.7059999999999</v>
      </c>
      <c r="AV31" s="24">
        <v>1079.2787000000001</v>
      </c>
      <c r="AW31" s="24">
        <v>1134.5875000000001</v>
      </c>
      <c r="AX31" s="24">
        <v>1202.979</v>
      </c>
      <c r="AY31" s="24">
        <v>1282.7091</v>
      </c>
      <c r="AZ31" s="24">
        <v>1381.1601000000001</v>
      </c>
      <c r="BA31" s="24">
        <v>1497.2147</v>
      </c>
      <c r="BB31" s="24">
        <v>1613.5895</v>
      </c>
      <c r="BC31" s="24">
        <v>1709.6115</v>
      </c>
      <c r="BD31" s="24">
        <v>1818.0838000000001</v>
      </c>
      <c r="BE31" s="24">
        <v>2044.2832000000001</v>
      </c>
      <c r="BF31" s="24">
        <v>2304.9241999999999</v>
      </c>
      <c r="BG31" s="24">
        <v>2496.2730000000001</v>
      </c>
      <c r="BH31" s="24">
        <v>2816.0628000000002</v>
      </c>
      <c r="BI31" s="24">
        <v>3533.1922</v>
      </c>
      <c r="BJ31" s="24">
        <v>4261.5324000000001</v>
      </c>
      <c r="BK31" s="24">
        <v>4825.7880999999998</v>
      </c>
      <c r="BL31" s="24">
        <v>5357.0928999999996</v>
      </c>
      <c r="BM31" s="24">
        <v>5830.2271000000001</v>
      </c>
      <c r="BN31" s="24">
        <v>6073.7165000000005</v>
      </c>
      <c r="BO31" s="24">
        <v>6351.7145</v>
      </c>
      <c r="BP31" s="24">
        <v>6607.7479000000003</v>
      </c>
      <c r="BQ31" s="24">
        <v>6883.4412000000002</v>
      </c>
      <c r="BR31" s="24">
        <v>7122.2421000000004</v>
      </c>
      <c r="BS31" s="24">
        <v>7313.9542000000001</v>
      </c>
      <c r="BT31" s="24">
        <v>7491.4314000000004</v>
      </c>
      <c r="BU31" s="24">
        <v>7694.0074999999997</v>
      </c>
      <c r="BV31" s="24">
        <v>7864.1256999999996</v>
      </c>
      <c r="BW31" s="24">
        <v>8052.9926999999998</v>
      </c>
      <c r="BX31" s="24">
        <v>8353.3158000000003</v>
      </c>
      <c r="BY31" s="24">
        <v>8585.6077999999998</v>
      </c>
      <c r="BZ31" s="24">
        <v>8714.4871000000003</v>
      </c>
      <c r="CA31" s="24">
        <v>8855.5681000000004</v>
      </c>
      <c r="CB31" s="24">
        <v>9023.973</v>
      </c>
      <c r="CC31" s="24">
        <v>9193.2440999999999</v>
      </c>
      <c r="CD31" s="24">
        <v>9384.0921999999991</v>
      </c>
      <c r="CE31" s="24">
        <v>9603.8623000000007</v>
      </c>
      <c r="CF31" s="24">
        <v>9841.3580999999995</v>
      </c>
      <c r="CG31" s="24">
        <v>10121.371499999999</v>
      </c>
      <c r="CH31" s="24">
        <v>10413.0309</v>
      </c>
      <c r="CI31" s="24">
        <v>10714.6255</v>
      </c>
      <c r="CJ31" s="24">
        <v>11077.060799999999</v>
      </c>
      <c r="CK31" s="24">
        <v>11363.090399999999</v>
      </c>
      <c r="CL31" s="24">
        <v>11607.393700000001</v>
      </c>
      <c r="CM31" s="24">
        <v>11826.4103</v>
      </c>
      <c r="CN31" s="24">
        <v>12076.393700000001</v>
      </c>
      <c r="CO31" s="24"/>
    </row>
    <row r="32" spans="1:93" x14ac:dyDescent="0.25">
      <c r="B32" s="22"/>
      <c r="C32" s="22"/>
      <c r="D32" s="22"/>
      <c r="N32" s="22"/>
      <c r="O32" s="22"/>
      <c r="P32" s="22"/>
      <c r="Z32" s="22"/>
      <c r="AA32" s="22"/>
      <c r="AB32" s="22"/>
      <c r="AL32" s="22"/>
      <c r="AM32" s="22"/>
      <c r="AN32" s="22"/>
      <c r="AX32" s="22"/>
      <c r="AY32" s="22"/>
      <c r="AZ32" s="22"/>
      <c r="BJ32" s="22"/>
      <c r="BK32" s="22"/>
      <c r="BL32" s="22"/>
      <c r="BV32" s="22"/>
      <c r="BW32" s="22"/>
      <c r="BX32" s="22"/>
      <c r="CH32" s="22"/>
      <c r="CI32" s="22"/>
      <c r="CJ32" s="22"/>
      <c r="CK32" s="22"/>
      <c r="CL32" s="22"/>
      <c r="CM32" s="22"/>
      <c r="CN32" s="22"/>
      <c r="CO32" s="22"/>
    </row>
    <row r="33" spans="1:93" x14ac:dyDescent="0.25">
      <c r="A33" s="4" t="s">
        <v>0</v>
      </c>
      <c r="B33" s="5">
        <v>43466</v>
      </c>
      <c r="C33" s="6">
        <v>43497</v>
      </c>
      <c r="D33" s="6">
        <v>43525</v>
      </c>
      <c r="E33" s="6">
        <v>43556</v>
      </c>
      <c r="F33" s="6">
        <v>43586</v>
      </c>
      <c r="G33" s="6">
        <v>43617</v>
      </c>
      <c r="H33" s="6">
        <v>43647</v>
      </c>
      <c r="I33" s="6">
        <v>43678</v>
      </c>
      <c r="J33" s="6">
        <v>43709</v>
      </c>
      <c r="K33" s="6">
        <v>43739</v>
      </c>
      <c r="L33" s="6">
        <v>43770</v>
      </c>
      <c r="M33" s="7">
        <v>43800</v>
      </c>
      <c r="N33" s="5">
        <v>43831</v>
      </c>
      <c r="O33" s="6">
        <v>43862</v>
      </c>
      <c r="P33" s="6">
        <v>43891</v>
      </c>
      <c r="Q33" s="6">
        <v>43922</v>
      </c>
      <c r="R33" s="6">
        <v>43952</v>
      </c>
      <c r="S33" s="6">
        <v>43983</v>
      </c>
      <c r="T33" s="6">
        <v>44013</v>
      </c>
      <c r="U33" s="6">
        <v>44044</v>
      </c>
      <c r="V33" s="6">
        <v>44075</v>
      </c>
      <c r="W33" s="6">
        <v>44105</v>
      </c>
      <c r="X33" s="6">
        <v>44136</v>
      </c>
      <c r="Y33" s="7">
        <v>44166</v>
      </c>
      <c r="Z33" s="5">
        <v>44197</v>
      </c>
      <c r="AA33" s="6">
        <v>44228</v>
      </c>
      <c r="AB33" s="6">
        <v>44256</v>
      </c>
      <c r="AC33" s="6">
        <v>44287</v>
      </c>
      <c r="AD33" s="6">
        <v>44317</v>
      </c>
      <c r="AE33" s="6">
        <v>44348</v>
      </c>
      <c r="AF33" s="6">
        <v>44378</v>
      </c>
      <c r="AG33" s="6">
        <v>44409</v>
      </c>
      <c r="AH33" s="6">
        <v>44440</v>
      </c>
      <c r="AI33" s="6">
        <v>44470</v>
      </c>
      <c r="AJ33" s="6">
        <v>44501</v>
      </c>
      <c r="AK33" s="7">
        <v>44531</v>
      </c>
      <c r="AL33" s="5">
        <v>44562</v>
      </c>
      <c r="AM33" s="6">
        <v>44593</v>
      </c>
      <c r="AN33" s="6">
        <v>44621</v>
      </c>
      <c r="AO33" s="6">
        <v>44652</v>
      </c>
      <c r="AP33" s="6">
        <v>44682</v>
      </c>
      <c r="AQ33" s="6">
        <v>44713</v>
      </c>
      <c r="AR33" s="6">
        <v>44743</v>
      </c>
      <c r="AS33" s="6">
        <v>44774</v>
      </c>
      <c r="AT33" s="6">
        <v>44805</v>
      </c>
      <c r="AU33" s="6">
        <v>44835</v>
      </c>
      <c r="AV33" s="6">
        <v>44866</v>
      </c>
      <c r="AW33" s="7">
        <v>44896</v>
      </c>
      <c r="AX33" s="5">
        <v>44927</v>
      </c>
      <c r="AY33" s="6">
        <v>44958</v>
      </c>
      <c r="AZ33" s="6">
        <v>44986</v>
      </c>
      <c r="BA33" s="6">
        <v>45017</v>
      </c>
      <c r="BB33" s="6">
        <v>45047</v>
      </c>
      <c r="BC33" s="6">
        <v>45078</v>
      </c>
      <c r="BD33" s="6">
        <v>45108</v>
      </c>
      <c r="BE33" s="6">
        <v>45139</v>
      </c>
      <c r="BF33" s="6">
        <v>45170</v>
      </c>
      <c r="BG33" s="6">
        <v>45200</v>
      </c>
      <c r="BH33" s="6">
        <v>45231</v>
      </c>
      <c r="BI33" s="7">
        <v>45261</v>
      </c>
      <c r="BJ33" s="5">
        <v>45292</v>
      </c>
      <c r="BK33" s="6">
        <v>45323</v>
      </c>
      <c r="BL33" s="6">
        <v>45352</v>
      </c>
      <c r="BM33" s="6">
        <v>45383</v>
      </c>
      <c r="BN33" s="6">
        <v>45413</v>
      </c>
      <c r="BO33" s="6">
        <v>45444</v>
      </c>
      <c r="BP33" s="6">
        <v>45474</v>
      </c>
      <c r="BQ33" s="6">
        <v>45505</v>
      </c>
      <c r="BR33" s="6">
        <v>45536</v>
      </c>
      <c r="BS33" s="6">
        <v>45566</v>
      </c>
      <c r="BT33" s="6">
        <v>45597</v>
      </c>
      <c r="BU33" s="7">
        <v>45627</v>
      </c>
      <c r="BV33" s="5">
        <v>45658</v>
      </c>
      <c r="BW33" s="6">
        <v>45689</v>
      </c>
      <c r="BX33" s="6">
        <v>45717</v>
      </c>
      <c r="BY33" s="6">
        <v>45748</v>
      </c>
      <c r="BZ33" s="6">
        <v>45778</v>
      </c>
      <c r="CA33" s="6">
        <v>45809</v>
      </c>
      <c r="CB33" s="6">
        <v>45839</v>
      </c>
      <c r="CC33" s="6">
        <v>45870</v>
      </c>
      <c r="CD33" s="6">
        <v>45901</v>
      </c>
      <c r="CE33" s="6">
        <v>45931</v>
      </c>
      <c r="CF33" s="6">
        <v>45962</v>
      </c>
      <c r="CG33" s="7">
        <v>45992</v>
      </c>
      <c r="CH33" s="5">
        <v>46023</v>
      </c>
      <c r="CI33" s="6">
        <v>46054</v>
      </c>
      <c r="CJ33" s="6">
        <v>46082</v>
      </c>
      <c r="CK33" s="6">
        <v>46113</v>
      </c>
      <c r="CL33" s="6">
        <v>46143</v>
      </c>
      <c r="CM33" s="6">
        <v>46174</v>
      </c>
      <c r="CN33" s="6">
        <v>46204</v>
      </c>
      <c r="CO33" s="6"/>
    </row>
    <row r="34" spans="1:93" s="12" customFormat="1" x14ac:dyDescent="0.2">
      <c r="A34" s="9" t="s">
        <v>4</v>
      </c>
      <c r="B34" s="10">
        <f>(B2/B31)*100</f>
        <v>1202.2467460857833</v>
      </c>
      <c r="C34" s="10">
        <f t="shared" ref="C34:BN34" si="2">(C2/C31)*100</f>
        <v>1111.5751088817747</v>
      </c>
      <c r="D34" s="10">
        <f t="shared" si="2"/>
        <v>1028.8138265687369</v>
      </c>
      <c r="E34" s="10">
        <f t="shared" si="2"/>
        <v>1037.6443839687738</v>
      </c>
      <c r="F34" s="10">
        <f t="shared" si="2"/>
        <v>1047.9156675506708</v>
      </c>
      <c r="G34" s="10">
        <f t="shared" si="2"/>
        <v>1169.2555988596105</v>
      </c>
      <c r="H34" s="10">
        <f t="shared" si="2"/>
        <v>1031.7144914835094</v>
      </c>
      <c r="I34" s="10">
        <f t="shared" si="2"/>
        <v>1050.1519775866968</v>
      </c>
      <c r="J34" s="10">
        <f t="shared" si="2"/>
        <v>1095.4226515134196</v>
      </c>
      <c r="K34" s="10">
        <f t="shared" si="2"/>
        <v>1098.4843136903248</v>
      </c>
      <c r="L34" s="10">
        <f t="shared" si="2"/>
        <v>1100.8159118176914</v>
      </c>
      <c r="M34" s="10">
        <f t="shared" si="2"/>
        <v>1003.0284438348007</v>
      </c>
      <c r="N34" s="10">
        <f t="shared" si="2"/>
        <v>1148.7076458640049</v>
      </c>
      <c r="O34" s="10">
        <f t="shared" si="2"/>
        <v>959.46391120385852</v>
      </c>
      <c r="P34" s="10">
        <f t="shared" si="2"/>
        <v>851.11290338944502</v>
      </c>
      <c r="Q34" s="10">
        <f t="shared" si="2"/>
        <v>608.0532870207204</v>
      </c>
      <c r="R34" s="10">
        <f t="shared" si="2"/>
        <v>598.02031509450205</v>
      </c>
      <c r="S34" s="10">
        <f t="shared" si="2"/>
        <v>730.58056276628713</v>
      </c>
      <c r="T34" s="10">
        <f t="shared" si="2"/>
        <v>821.1479292897593</v>
      </c>
      <c r="U34" s="10">
        <f t="shared" si="2"/>
        <v>1002.8051119196638</v>
      </c>
      <c r="V34" s="10">
        <f t="shared" si="2"/>
        <v>1026.0870167303915</v>
      </c>
      <c r="W34" s="10">
        <f t="shared" si="2"/>
        <v>1060.6269306589334</v>
      </c>
      <c r="X34" s="10">
        <f t="shared" si="2"/>
        <v>1213.8544142098658</v>
      </c>
      <c r="Y34" s="10">
        <f t="shared" si="2"/>
        <v>1089.6158572581401</v>
      </c>
      <c r="Z34" s="10">
        <f t="shared" si="2"/>
        <v>1114.0171498586203</v>
      </c>
      <c r="AA34" s="10">
        <f t="shared" si="2"/>
        <v>1052.4871247620893</v>
      </c>
      <c r="AB34" s="10">
        <f t="shared" si="2"/>
        <v>1040.5543503423189</v>
      </c>
      <c r="AC34" s="10">
        <f t="shared" si="2"/>
        <v>1207.3885986628907</v>
      </c>
      <c r="AD34" s="10">
        <f t="shared" si="2"/>
        <v>1130.0009600512026</v>
      </c>
      <c r="AE34" s="10">
        <f t="shared" si="2"/>
        <v>1071.0123077743835</v>
      </c>
      <c r="AF34" s="10">
        <f t="shared" si="2"/>
        <v>1151.2985277817429</v>
      </c>
      <c r="AG34" s="10">
        <f t="shared" si="2"/>
        <v>1206.8077882546472</v>
      </c>
      <c r="AH34" s="10">
        <f t="shared" si="2"/>
        <v>1184.0845583170988</v>
      </c>
      <c r="AI34" s="10">
        <f t="shared" si="2"/>
        <v>1138.6867958299349</v>
      </c>
      <c r="AJ34" s="10">
        <f t="shared" si="2"/>
        <v>1204.5438338268098</v>
      </c>
      <c r="AK34" s="10">
        <f t="shared" si="2"/>
        <v>1127.8177377748591</v>
      </c>
      <c r="AL34" s="10">
        <f t="shared" si="2"/>
        <v>1215.4922215976453</v>
      </c>
      <c r="AM34" s="10">
        <f t="shared" si="2"/>
        <v>1081.3967000355681</v>
      </c>
      <c r="AN34" s="10">
        <f t="shared" si="2"/>
        <v>1006.3297788084606</v>
      </c>
      <c r="AO34" s="10">
        <f t="shared" si="2"/>
        <v>1273.3009309845916</v>
      </c>
      <c r="AP34" s="10">
        <f t="shared" si="2"/>
        <v>1190.5837056510877</v>
      </c>
      <c r="AQ34" s="10">
        <f t="shared" si="2"/>
        <v>1201.0403422805607</v>
      </c>
      <c r="AR34" s="10">
        <f t="shared" si="2"/>
        <v>1184.8404161026392</v>
      </c>
      <c r="AS34" s="10">
        <f t="shared" si="2"/>
        <v>1207.9179791371521</v>
      </c>
      <c r="AT34" s="10">
        <f t="shared" si="2"/>
        <v>1223.1516012590002</v>
      </c>
      <c r="AU34" s="10">
        <f t="shared" si="2"/>
        <v>1177.4743525847032</v>
      </c>
      <c r="AV34" s="10">
        <f t="shared" si="2"/>
        <v>1043.8029861054424</v>
      </c>
      <c r="AW34" s="10">
        <f t="shared" si="2"/>
        <v>993.01378494827406</v>
      </c>
      <c r="AX34" s="10">
        <f t="shared" si="2"/>
        <v>1200.661014157354</v>
      </c>
      <c r="AY34" s="10">
        <f t="shared" si="2"/>
        <v>1054.2816768743589</v>
      </c>
      <c r="AZ34" s="10">
        <f t="shared" si="2"/>
        <v>953.56886471018095</v>
      </c>
      <c r="BA34" s="10">
        <f t="shared" si="2"/>
        <v>1098.3921590871371</v>
      </c>
      <c r="BB34" s="10">
        <f t="shared" si="2"/>
        <v>1037.8170770260961</v>
      </c>
      <c r="BC34" s="10">
        <f t="shared" si="2"/>
        <v>1078.6144919357412</v>
      </c>
      <c r="BD34" s="10">
        <f t="shared" si="2"/>
        <v>1207.6546700047602</v>
      </c>
      <c r="BE34" s="10">
        <f t="shared" si="2"/>
        <v>1086.8816817992731</v>
      </c>
      <c r="BF34" s="10">
        <f t="shared" si="2"/>
        <v>1083.4063954337494</v>
      </c>
      <c r="BG34" s="10">
        <f t="shared" si="2"/>
        <v>1065.1514942997019</v>
      </c>
      <c r="BH34" s="10">
        <f t="shared" si="2"/>
        <v>1052.7763406945326</v>
      </c>
      <c r="BI34" s="10">
        <f t="shared" si="2"/>
        <v>913.29069657178559</v>
      </c>
      <c r="BJ34" s="10">
        <f t="shared" si="2"/>
        <v>804.16130460019519</v>
      </c>
      <c r="BK34" s="10">
        <f t="shared" si="2"/>
        <v>784.5297547606782</v>
      </c>
      <c r="BL34" s="10">
        <f t="shared" si="2"/>
        <v>880.23051315387875</v>
      </c>
      <c r="BM34" s="10">
        <f t="shared" si="2"/>
        <v>854.04681608714679</v>
      </c>
      <c r="BN34" s="10">
        <f t="shared" si="2"/>
        <v>960.48473880037011</v>
      </c>
      <c r="BO34" s="10">
        <f t="shared" ref="BO34:CN34" si="3">(BO2/BO31)*100</f>
        <v>1096.5323417606382</v>
      </c>
      <c r="BP34" s="10">
        <f t="shared" si="3"/>
        <v>994.27778233639947</v>
      </c>
      <c r="BQ34" s="10">
        <f t="shared" si="3"/>
        <v>1099.1510368709187</v>
      </c>
      <c r="BR34" s="10">
        <f t="shared" si="3"/>
        <v>1172.5987511362466</v>
      </c>
      <c r="BS34" s="10">
        <f t="shared" si="3"/>
        <v>1154.8468578310215</v>
      </c>
      <c r="BT34" s="10">
        <f t="shared" si="3"/>
        <v>1235.4447333416144</v>
      </c>
      <c r="BU34" s="10">
        <f t="shared" si="3"/>
        <v>1165.7934301103812</v>
      </c>
      <c r="BV34" s="10">
        <f t="shared" si="3"/>
        <v>1302.0132548809593</v>
      </c>
      <c r="BW34" s="10">
        <f t="shared" si="3"/>
        <v>1228.9053459541817</v>
      </c>
      <c r="BX34" s="10">
        <f t="shared" si="3"/>
        <v>1225.8848612379768</v>
      </c>
      <c r="BY34" s="10">
        <f t="shared" si="3"/>
        <v>1339.7642899702453</v>
      </c>
      <c r="BZ34" s="10">
        <f t="shared" si="3"/>
        <v>1372.2289628462472</v>
      </c>
      <c r="CA34" s="10">
        <f t="shared" si="3"/>
        <v>1363.9662245192376</v>
      </c>
      <c r="CB34" s="10">
        <f t="shared" si="3"/>
        <v>1411.1877021773005</v>
      </c>
      <c r="CC34" s="10">
        <f t="shared" si="3"/>
        <v>1504.0299054682991</v>
      </c>
      <c r="CD34" s="10">
        <f t="shared" si="3"/>
        <v>1449.6961318005804</v>
      </c>
      <c r="CE34" s="10">
        <f t="shared" si="3"/>
        <v>1394.264881433171</v>
      </c>
      <c r="CF34" s="10">
        <f t="shared" si="3"/>
        <v>1489.0082939599567</v>
      </c>
      <c r="CG34" s="10">
        <f t="shared" si="3"/>
        <v>1255.9039508153614</v>
      </c>
      <c r="CH34" s="10">
        <f t="shared" si="3"/>
        <v>1371.4816949568446</v>
      </c>
      <c r="CI34" s="10">
        <f t="shared" si="3"/>
        <v>1177.7704435428004</v>
      </c>
      <c r="CJ34" s="10">
        <f t="shared" si="3"/>
        <v>1191.0169900159794</v>
      </c>
      <c r="CK34" s="10">
        <f t="shared" si="3"/>
        <v>1206.4507817098772</v>
      </c>
      <c r="CL34" s="10">
        <f t="shared" si="3"/>
        <v>1216.0993641130653</v>
      </c>
      <c r="CM34" s="10">
        <f t="shared" si="3"/>
        <v>1131.2480760548278</v>
      </c>
      <c r="CN34" s="10">
        <f t="shared" si="3"/>
        <v>1147.3839370308042</v>
      </c>
      <c r="CO34" s="10"/>
    </row>
    <row r="35" spans="1:93" s="12" customFormat="1" x14ac:dyDescent="0.2">
      <c r="A35" s="9" t="s">
        <v>2</v>
      </c>
      <c r="B35" s="10">
        <f>(B3/B31)*100</f>
        <v>814.67179227266899</v>
      </c>
      <c r="C35" s="10">
        <f t="shared" ref="C35:BN35" si="4">(C3/C31)*100</f>
        <v>712.78235690858617</v>
      </c>
      <c r="D35" s="10">
        <f t="shared" si="4"/>
        <v>572.10943444047325</v>
      </c>
      <c r="E35" s="10">
        <f t="shared" si="4"/>
        <v>647.68316798223157</v>
      </c>
      <c r="F35" s="10">
        <f t="shared" si="4"/>
        <v>678.00979281693094</v>
      </c>
      <c r="G35" s="10">
        <f t="shared" si="4"/>
        <v>740.49934157144946</v>
      </c>
      <c r="H35" s="10">
        <f t="shared" si="4"/>
        <v>613.81207319930229</v>
      </c>
      <c r="I35" s="10">
        <f t="shared" si="4"/>
        <v>768.88180137783547</v>
      </c>
      <c r="J35" s="10">
        <f t="shared" si="4"/>
        <v>685.90068511238417</v>
      </c>
      <c r="K35" s="10">
        <f t="shared" si="4"/>
        <v>629.84109734147216</v>
      </c>
      <c r="L35" s="10">
        <f t="shared" si="4"/>
        <v>699.8497158656271</v>
      </c>
      <c r="M35" s="10">
        <f t="shared" si="4"/>
        <v>542.75233008825023</v>
      </c>
      <c r="N35" s="10">
        <f t="shared" si="4"/>
        <v>628.16155269004332</v>
      </c>
      <c r="O35" s="10">
        <f t="shared" si="4"/>
        <v>560.19292038989943</v>
      </c>
      <c r="P35" s="10">
        <f t="shared" si="4"/>
        <v>442.67496641319059</v>
      </c>
      <c r="Q35" s="10">
        <f t="shared" si="4"/>
        <v>377.84849494218929</v>
      </c>
      <c r="R35" s="10">
        <f t="shared" si="4"/>
        <v>264.93393164431467</v>
      </c>
      <c r="S35" s="10">
        <f t="shared" si="4"/>
        <v>377.98106554011542</v>
      </c>
      <c r="T35" s="10">
        <f t="shared" si="4"/>
        <v>484.0929989939105</v>
      </c>
      <c r="U35" s="10">
        <f t="shared" si="4"/>
        <v>516.55001198588275</v>
      </c>
      <c r="V35" s="10">
        <f t="shared" si="4"/>
        <v>528.6758696177119</v>
      </c>
      <c r="W35" s="10">
        <f t="shared" si="4"/>
        <v>610.35931456915898</v>
      </c>
      <c r="X35" s="10">
        <f t="shared" si="4"/>
        <v>653.57468887888047</v>
      </c>
      <c r="Y35" s="10">
        <f t="shared" si="4"/>
        <v>700.39436864994684</v>
      </c>
      <c r="Z35" s="10">
        <f t="shared" si="4"/>
        <v>599.19239286179504</v>
      </c>
      <c r="AA35" s="10">
        <f t="shared" si="4"/>
        <v>825.47110261999546</v>
      </c>
      <c r="AB35" s="10">
        <f t="shared" si="4"/>
        <v>706.73145420711012</v>
      </c>
      <c r="AC35" s="10">
        <f t="shared" si="4"/>
        <v>950.79844541048465</v>
      </c>
      <c r="AD35" s="10">
        <f t="shared" si="4"/>
        <v>834.7325190676836</v>
      </c>
      <c r="AE35" s="10">
        <f t="shared" si="4"/>
        <v>710.16650162146834</v>
      </c>
      <c r="AF35" s="10">
        <f t="shared" si="4"/>
        <v>847.10118697358575</v>
      </c>
      <c r="AG35" s="10">
        <f t="shared" si="4"/>
        <v>949.65812699282242</v>
      </c>
      <c r="AH35" s="10">
        <f t="shared" si="4"/>
        <v>885.81425658584885</v>
      </c>
      <c r="AI35" s="10">
        <f t="shared" si="4"/>
        <v>902.28087216462961</v>
      </c>
      <c r="AJ35" s="10">
        <f t="shared" si="4"/>
        <v>884.2106088871393</v>
      </c>
      <c r="AK35" s="10">
        <f t="shared" si="4"/>
        <v>975.43597601541751</v>
      </c>
      <c r="AL35" s="10">
        <f t="shared" si="4"/>
        <v>955.40448541787146</v>
      </c>
      <c r="AM35" s="10">
        <f t="shared" si="4"/>
        <v>797.93620204532715</v>
      </c>
      <c r="AN35" s="10">
        <f t="shared" si="4"/>
        <v>688.07848336958773</v>
      </c>
      <c r="AO35" s="10">
        <f t="shared" si="4"/>
        <v>954.36172543891064</v>
      </c>
      <c r="AP35" s="10">
        <f t="shared" si="4"/>
        <v>904.45822661445891</v>
      </c>
      <c r="AQ35" s="10">
        <f t="shared" si="4"/>
        <v>854.20712867821283</v>
      </c>
      <c r="AR35" s="10">
        <f t="shared" si="4"/>
        <v>908.82301490676377</v>
      </c>
      <c r="AS35" s="10">
        <f t="shared" si="4"/>
        <v>1020.7746059954455</v>
      </c>
      <c r="AT35" s="10">
        <f t="shared" si="4"/>
        <v>808.73963980020426</v>
      </c>
      <c r="AU35" s="10">
        <f t="shared" si="4"/>
        <v>875.95484035283175</v>
      </c>
      <c r="AV35" s="10">
        <f t="shared" si="4"/>
        <v>855.31197826844925</v>
      </c>
      <c r="AW35" s="10">
        <f t="shared" si="4"/>
        <v>804.67130124384414</v>
      </c>
      <c r="AX35" s="10">
        <f t="shared" si="4"/>
        <v>955.57777816570353</v>
      </c>
      <c r="AY35" s="10">
        <f t="shared" si="4"/>
        <v>849.95109179470228</v>
      </c>
      <c r="AZ35" s="10">
        <f t="shared" si="4"/>
        <v>667.63440386092827</v>
      </c>
      <c r="BA35" s="10">
        <f t="shared" si="4"/>
        <v>731.40478783704179</v>
      </c>
      <c r="BB35" s="10">
        <f t="shared" si="4"/>
        <v>535.17328911721359</v>
      </c>
      <c r="BC35" s="10">
        <f t="shared" si="4"/>
        <v>590.4265384270052</v>
      </c>
      <c r="BD35" s="10">
        <f t="shared" si="4"/>
        <v>577.71814478518536</v>
      </c>
      <c r="BE35" s="10">
        <f t="shared" si="4"/>
        <v>575.61985540946569</v>
      </c>
      <c r="BF35" s="10">
        <f t="shared" si="4"/>
        <v>614.79245174309858</v>
      </c>
      <c r="BG35" s="10">
        <f t="shared" si="4"/>
        <v>592.27896948771217</v>
      </c>
      <c r="BH35" s="10">
        <f t="shared" si="4"/>
        <v>626.22893211046278</v>
      </c>
      <c r="BI35" s="10">
        <f t="shared" si="4"/>
        <v>489.11010275636863</v>
      </c>
      <c r="BJ35" s="10">
        <f t="shared" si="4"/>
        <v>454.00569992146484</v>
      </c>
      <c r="BK35" s="10">
        <f t="shared" si="4"/>
        <v>418.15967841604981</v>
      </c>
      <c r="BL35" s="10">
        <f t="shared" si="4"/>
        <v>422.32607166472701</v>
      </c>
      <c r="BM35" s="10">
        <f t="shared" si="4"/>
        <v>495.24828972785633</v>
      </c>
      <c r="BN35" s="10">
        <f t="shared" si="4"/>
        <v>528.8458886745866</v>
      </c>
      <c r="BO35" s="10">
        <f t="shared" ref="BO35:CN35" si="5">(BO3/BO31)*100</f>
        <v>595.51637593282885</v>
      </c>
      <c r="BP35" s="10">
        <f t="shared" si="5"/>
        <v>583.28950473428324</v>
      </c>
      <c r="BQ35" s="10">
        <f t="shared" si="5"/>
        <v>697.82828972229765</v>
      </c>
      <c r="BR35" s="10">
        <f t="shared" si="5"/>
        <v>732.22447745773763</v>
      </c>
      <c r="BS35" s="10">
        <f t="shared" si="5"/>
        <v>665.81767766607015</v>
      </c>
      <c r="BT35" s="10">
        <f t="shared" si="5"/>
        <v>762.97301474321705</v>
      </c>
      <c r="BU35" s="10">
        <f t="shared" si="5"/>
        <v>706.93458513005089</v>
      </c>
      <c r="BV35" s="10">
        <f t="shared" si="5"/>
        <v>839.85559895106974</v>
      </c>
      <c r="BW35" s="10">
        <f t="shared" si="5"/>
        <v>668.23107886338948</v>
      </c>
      <c r="BX35" s="10">
        <f t="shared" si="5"/>
        <v>616.16609777880069</v>
      </c>
      <c r="BY35" s="10">
        <f t="shared" si="5"/>
        <v>668.37434619363819</v>
      </c>
      <c r="BZ35" s="10">
        <f t="shared" si="5"/>
        <v>740.53583715787465</v>
      </c>
      <c r="CA35" s="10">
        <f t="shared" si="5"/>
        <v>718.43950926197499</v>
      </c>
      <c r="CB35" s="10">
        <f t="shared" si="5"/>
        <v>777.47351416055869</v>
      </c>
      <c r="CC35" s="10">
        <f t="shared" si="5"/>
        <v>826.66901012668643</v>
      </c>
      <c r="CD35" s="10">
        <f t="shared" si="5"/>
        <v>873.56238891173723</v>
      </c>
      <c r="CE35" s="10">
        <f t="shared" si="5"/>
        <v>810.70716726123817</v>
      </c>
      <c r="CF35" s="10">
        <f t="shared" si="5"/>
        <v>807.941334844832</v>
      </c>
      <c r="CG35" s="10">
        <f t="shared" si="5"/>
        <v>691.14546383363165</v>
      </c>
      <c r="CH35" s="10">
        <f t="shared" si="5"/>
        <v>886.78311710378193</v>
      </c>
      <c r="CI35" s="10">
        <f t="shared" si="5"/>
        <v>676.28588605360028</v>
      </c>
      <c r="CJ35" s="10">
        <f t="shared" si="5"/>
        <v>587.42477968523929</v>
      </c>
      <c r="CK35" s="10">
        <f t="shared" si="5"/>
        <v>662.06372871943358</v>
      </c>
      <c r="CL35" s="10">
        <f t="shared" si="5"/>
        <v>655.33746822079456</v>
      </c>
      <c r="CM35" s="10">
        <f t="shared" si="5"/>
        <v>630.99874016716637</v>
      </c>
      <c r="CN35" s="10">
        <f t="shared" si="5"/>
        <v>651.45193138246225</v>
      </c>
      <c r="CO35" s="10"/>
    </row>
    <row r="36" spans="1:93" s="12" customFormat="1" x14ac:dyDescent="0.2">
      <c r="A36" s="9" t="s">
        <v>23</v>
      </c>
      <c r="B36" s="10">
        <f>(B4/B31)*100</f>
        <v>12.177925717037226</v>
      </c>
      <c r="C36" s="10">
        <f t="shared" ref="C36:BN36" si="6">(C4/C31)*100</f>
        <v>13.777923365731453</v>
      </c>
      <c r="D36" s="10">
        <f t="shared" si="6"/>
        <v>12.954640903372594</v>
      </c>
      <c r="E36" s="10">
        <f t="shared" si="6"/>
        <v>15.166271848570087</v>
      </c>
      <c r="F36" s="10">
        <f t="shared" si="6"/>
        <v>14.463570242807391</v>
      </c>
      <c r="G36" s="10">
        <f t="shared" si="6"/>
        <v>11.929053060030062</v>
      </c>
      <c r="H36" s="10">
        <f t="shared" si="6"/>
        <v>13.339873016217341</v>
      </c>
      <c r="I36" s="10">
        <f t="shared" si="6"/>
        <v>16.345579899978173</v>
      </c>
      <c r="J36" s="10">
        <f t="shared" si="6"/>
        <v>16.636638306224977</v>
      </c>
      <c r="K36" s="10">
        <f t="shared" si="6"/>
        <v>12.186682478199202</v>
      </c>
      <c r="L36" s="10">
        <f t="shared" si="6"/>
        <v>13.720466221206824</v>
      </c>
      <c r="M36" s="10">
        <f t="shared" si="6"/>
        <v>12.734330774805059</v>
      </c>
      <c r="N36" s="10">
        <f t="shared" si="6"/>
        <v>11.624348474743289</v>
      </c>
      <c r="O36" s="10">
        <f t="shared" si="6"/>
        <v>10.172122269723269</v>
      </c>
      <c r="P36" s="10">
        <f t="shared" si="6"/>
        <v>7.5804108047252283</v>
      </c>
      <c r="Q36" s="10">
        <f t="shared" si="6"/>
        <v>13.270578329398889</v>
      </c>
      <c r="R36" s="10">
        <f t="shared" si="6"/>
        <v>7.1607184749103476</v>
      </c>
      <c r="S36" s="10">
        <f t="shared" si="6"/>
        <v>7.9186526916165239</v>
      </c>
      <c r="T36" s="10">
        <f t="shared" si="6"/>
        <v>6.5791544429731257</v>
      </c>
      <c r="U36" s="10">
        <f t="shared" si="6"/>
        <v>12.48942330399759</v>
      </c>
      <c r="V36" s="10">
        <f t="shared" si="6"/>
        <v>9.7320896011115341</v>
      </c>
      <c r="W36" s="10">
        <f t="shared" si="6"/>
        <v>9.3672398034794249</v>
      </c>
      <c r="X36" s="10">
        <f t="shared" si="6"/>
        <v>9.7429518698532256</v>
      </c>
      <c r="Y36" s="10">
        <f t="shared" si="6"/>
        <v>10.161055878134954</v>
      </c>
      <c r="Z36" s="10">
        <f t="shared" si="6"/>
        <v>10.314365382330722</v>
      </c>
      <c r="AA36" s="10">
        <f t="shared" si="6"/>
        <v>13.906568783447293</v>
      </c>
      <c r="AB36" s="10">
        <f t="shared" si="6"/>
        <v>52.616207239982401</v>
      </c>
      <c r="AC36" s="10">
        <f t="shared" si="6"/>
        <v>15.505776145193776</v>
      </c>
      <c r="AD36" s="10">
        <f t="shared" si="6"/>
        <v>22.801641821963837</v>
      </c>
      <c r="AE36" s="10">
        <f t="shared" si="6"/>
        <v>14.257115682657476</v>
      </c>
      <c r="AF36" s="10">
        <f t="shared" si="6"/>
        <v>13.84356250478068</v>
      </c>
      <c r="AG36" s="10">
        <f t="shared" si="6"/>
        <v>15.370031636331289</v>
      </c>
      <c r="AH36" s="10">
        <f t="shared" si="6"/>
        <v>17.394429146969294</v>
      </c>
      <c r="AI36" s="10">
        <f t="shared" si="6"/>
        <v>13.447559904379657</v>
      </c>
      <c r="AJ36" s="10">
        <f t="shared" si="6"/>
        <v>20.507003475015271</v>
      </c>
      <c r="AK36" s="10">
        <f t="shared" si="6"/>
        <v>21.408788745960003</v>
      </c>
      <c r="AL36" s="10">
        <f t="shared" si="6"/>
        <v>11.27497684005648</v>
      </c>
      <c r="AM36" s="10">
        <f t="shared" si="6"/>
        <v>14.58805803318767</v>
      </c>
      <c r="AN36" s="10">
        <f t="shared" si="6"/>
        <v>22.173770450580619</v>
      </c>
      <c r="AO36" s="10">
        <f t="shared" si="6"/>
        <v>14.028087622128435</v>
      </c>
      <c r="AP36" s="10">
        <f t="shared" si="6"/>
        <v>15.527406300496455</v>
      </c>
      <c r="AQ36" s="10">
        <f t="shared" si="6"/>
        <v>17.112305550952936</v>
      </c>
      <c r="AR36" s="10">
        <f t="shared" si="6"/>
        <v>13.021366622796773</v>
      </c>
      <c r="AS36" s="10">
        <f t="shared" si="6"/>
        <v>16.870949581816717</v>
      </c>
      <c r="AT36" s="10">
        <f t="shared" si="6"/>
        <v>16.228982829246878</v>
      </c>
      <c r="AU36" s="10">
        <f t="shared" si="6"/>
        <v>13.359562295738533</v>
      </c>
      <c r="AV36" s="10">
        <f t="shared" si="6"/>
        <v>14.671067163652912</v>
      </c>
      <c r="AW36" s="10">
        <f t="shared" si="6"/>
        <v>15.076260693864507</v>
      </c>
      <c r="AX36" s="10">
        <f t="shared" si="6"/>
        <v>23.026265339627706</v>
      </c>
      <c r="AY36" s="10">
        <f t="shared" si="6"/>
        <v>12.313187440550626</v>
      </c>
      <c r="AZ36" s="10">
        <f t="shared" si="6"/>
        <v>14.406103485758099</v>
      </c>
      <c r="BA36" s="10">
        <f t="shared" si="6"/>
        <v>15.19722013883513</v>
      </c>
      <c r="BB36" s="10">
        <f t="shared" si="6"/>
        <v>16.00148169159505</v>
      </c>
      <c r="BC36" s="10">
        <f t="shared" si="6"/>
        <v>18.088594711137578</v>
      </c>
      <c r="BD36" s="10">
        <f t="shared" si="6"/>
        <v>26.497027499502501</v>
      </c>
      <c r="BE36" s="10">
        <f t="shared" si="6"/>
        <v>20.9804590675108</v>
      </c>
      <c r="BF36" s="10">
        <f t="shared" si="6"/>
        <v>15.431743915917062</v>
      </c>
      <c r="BG36" s="10">
        <f t="shared" si="6"/>
        <v>16.526774295119179</v>
      </c>
      <c r="BH36" s="10">
        <f t="shared" si="6"/>
        <v>30.92798153613618</v>
      </c>
      <c r="BI36" s="10">
        <f t="shared" si="6"/>
        <v>9.8146547439451446</v>
      </c>
      <c r="BJ36" s="10">
        <f t="shared" si="6"/>
        <v>17.102807577386951</v>
      </c>
      <c r="BK36" s="10">
        <f t="shared" si="6"/>
        <v>3.949832516060952</v>
      </c>
      <c r="BL36" s="10">
        <f t="shared" si="6"/>
        <v>6.4220104021343367</v>
      </c>
      <c r="BM36" s="10">
        <f t="shared" si="6"/>
        <v>8.0950927431283084</v>
      </c>
      <c r="BN36" s="10">
        <f t="shared" si="6"/>
        <v>6.1419384763842695</v>
      </c>
      <c r="BO36" s="10">
        <f t="shared" ref="BO36:CN36" si="7">(BO4/BO31)*100</f>
        <v>5.3190872166877146</v>
      </c>
      <c r="BP36" s="10">
        <f t="shared" si="7"/>
        <v>8.2937077436020203</v>
      </c>
      <c r="BQ36" s="10">
        <f t="shared" si="7"/>
        <v>7.7220678719533478</v>
      </c>
      <c r="BR36" s="10">
        <f t="shared" si="7"/>
        <v>7.4808327327148847</v>
      </c>
      <c r="BS36" s="10">
        <f t="shared" si="7"/>
        <v>12.311454177550086</v>
      </c>
      <c r="BT36" s="10">
        <f t="shared" si="7"/>
        <v>7.1431735846903699</v>
      </c>
      <c r="BU36" s="10">
        <f t="shared" si="7"/>
        <v>6.9261010894517598</v>
      </c>
      <c r="BV36" s="10">
        <f t="shared" si="7"/>
        <v>7.5527153220605312</v>
      </c>
      <c r="BW36" s="10">
        <f t="shared" si="7"/>
        <v>4.9044447683405945</v>
      </c>
      <c r="BX36" s="10">
        <f t="shared" si="7"/>
        <v>5.4734899628719891</v>
      </c>
      <c r="BY36" s="10">
        <f t="shared" si="7"/>
        <v>14.347334016352345</v>
      </c>
      <c r="BZ36" s="10">
        <f t="shared" si="7"/>
        <v>6.6472909399338018</v>
      </c>
      <c r="CA36" s="10">
        <f t="shared" si="7"/>
        <v>6.7931081686334718</v>
      </c>
      <c r="CB36" s="10">
        <f t="shared" si="7"/>
        <v>7.2310441723396108</v>
      </c>
      <c r="CC36" s="10">
        <f t="shared" si="7"/>
        <v>9.7240601646811484</v>
      </c>
      <c r="CD36" s="10">
        <f t="shared" si="7"/>
        <v>5.9543080210784805</v>
      </c>
      <c r="CE36" s="10">
        <f t="shared" si="7"/>
        <v>6.3147185011180342</v>
      </c>
      <c r="CF36" s="10">
        <f t="shared" si="7"/>
        <v>4.6535068192468279</v>
      </c>
      <c r="CG36" s="10">
        <f t="shared" si="7"/>
        <v>5.0318166522195149</v>
      </c>
      <c r="CH36" s="10">
        <f t="shared" si="7"/>
        <v>5.3202196049182957</v>
      </c>
      <c r="CI36" s="10">
        <f t="shared" si="7"/>
        <v>5.0776577571469952</v>
      </c>
      <c r="CJ36" s="10">
        <f t="shared" si="7"/>
        <v>4.5806222888114867</v>
      </c>
      <c r="CK36" s="10">
        <f t="shared" si="7"/>
        <v>5.2139328281679438</v>
      </c>
      <c r="CL36" s="10">
        <f t="shared" si="7"/>
        <v>6.2698882958540469</v>
      </c>
      <c r="CM36" s="10">
        <f t="shared" si="7"/>
        <v>5.6592707336561796</v>
      </c>
      <c r="CN36" s="10">
        <f t="shared" si="7"/>
        <v>5.2442410786094191</v>
      </c>
      <c r="CO36" s="10"/>
    </row>
    <row r="37" spans="1:93" s="12" customFormat="1" x14ac:dyDescent="0.2">
      <c r="A37" s="9" t="s">
        <v>5</v>
      </c>
      <c r="B37" s="10">
        <f>(B5/B31)*100</f>
        <v>44.176897274986935</v>
      </c>
      <c r="C37" s="10">
        <f t="shared" ref="C37:BN37" si="8">(C5/C31)*100</f>
        <v>41.527052047241661</v>
      </c>
      <c r="D37" s="10">
        <f t="shared" si="8"/>
        <v>37.758697748220385</v>
      </c>
      <c r="E37" s="10">
        <f t="shared" si="8"/>
        <v>40.763316518948209</v>
      </c>
      <c r="F37" s="10">
        <f t="shared" si="8"/>
        <v>36.044440524645779</v>
      </c>
      <c r="G37" s="10">
        <f t="shared" si="8"/>
        <v>34.448297968847683</v>
      </c>
      <c r="H37" s="10">
        <f t="shared" si="8"/>
        <v>36.699947356547241</v>
      </c>
      <c r="I37" s="10">
        <f t="shared" si="8"/>
        <v>42.659653813295648</v>
      </c>
      <c r="J37" s="10">
        <f t="shared" si="8"/>
        <v>37.136389581498896</v>
      </c>
      <c r="K37" s="10">
        <f t="shared" si="8"/>
        <v>32.937636111652751</v>
      </c>
      <c r="L37" s="10">
        <f t="shared" si="8"/>
        <v>34.304836693192712</v>
      </c>
      <c r="M37" s="10">
        <f t="shared" si="8"/>
        <v>33.066908410897099</v>
      </c>
      <c r="N37" s="10">
        <f t="shared" si="8"/>
        <v>37.238637469771064</v>
      </c>
      <c r="O37" s="10">
        <f t="shared" si="8"/>
        <v>35.634509794836063</v>
      </c>
      <c r="P37" s="10">
        <f t="shared" si="8"/>
        <v>36.248032871709022</v>
      </c>
      <c r="Q37" s="10">
        <f t="shared" si="8"/>
        <v>24.018783935989536</v>
      </c>
      <c r="R37" s="10">
        <f t="shared" si="8"/>
        <v>23.546605311317219</v>
      </c>
      <c r="S37" s="10">
        <f t="shared" si="8"/>
        <v>26.857687901934881</v>
      </c>
      <c r="T37" s="10">
        <f t="shared" si="8"/>
        <v>30.920228311030971</v>
      </c>
      <c r="U37" s="10">
        <f t="shared" si="8"/>
        <v>45.724558266817624</v>
      </c>
      <c r="V37" s="10">
        <f t="shared" si="8"/>
        <v>38.992908969371996</v>
      </c>
      <c r="W37" s="10">
        <f t="shared" si="8"/>
        <v>40.661657668278387</v>
      </c>
      <c r="X37" s="10">
        <f t="shared" si="8"/>
        <v>40.847283946923774</v>
      </c>
      <c r="Y37" s="10">
        <f t="shared" si="8"/>
        <v>38.71770133195951</v>
      </c>
      <c r="Z37" s="10">
        <f t="shared" si="8"/>
        <v>42.539522416913677</v>
      </c>
      <c r="AA37" s="10">
        <f t="shared" si="8"/>
        <v>48.546623273004464</v>
      </c>
      <c r="AB37" s="10">
        <f t="shared" si="8"/>
        <v>38.151964690040998</v>
      </c>
      <c r="AC37" s="10">
        <f t="shared" si="8"/>
        <v>48.663484617997604</v>
      </c>
      <c r="AD37" s="10">
        <f t="shared" si="8"/>
        <v>40.737694189556777</v>
      </c>
      <c r="AE37" s="10">
        <f t="shared" si="8"/>
        <v>39.476970458736041</v>
      </c>
      <c r="AF37" s="10">
        <f t="shared" si="8"/>
        <v>42.610549356984869</v>
      </c>
      <c r="AG37" s="10">
        <f t="shared" si="8"/>
        <v>55.098163178578439</v>
      </c>
      <c r="AH37" s="10">
        <f t="shared" si="8"/>
        <v>48.437302314791694</v>
      </c>
      <c r="AI37" s="10">
        <f t="shared" si="8"/>
        <v>49.984196498063724</v>
      </c>
      <c r="AJ37" s="10">
        <f t="shared" si="8"/>
        <v>48.192565497940521</v>
      </c>
      <c r="AK37" s="10">
        <f t="shared" si="8"/>
        <v>47.831779855182567</v>
      </c>
      <c r="AL37" s="10">
        <f t="shared" si="8"/>
        <v>58.296598034450099</v>
      </c>
      <c r="AM37" s="10">
        <f t="shared" si="8"/>
        <v>46.687594951077003</v>
      </c>
      <c r="AN37" s="10">
        <f t="shared" si="8"/>
        <v>39.083680347178031</v>
      </c>
      <c r="AO37" s="10">
        <f t="shared" si="8"/>
        <v>46.358688505131326</v>
      </c>
      <c r="AP37" s="10">
        <f t="shared" si="8"/>
        <v>43.835908865068838</v>
      </c>
      <c r="AQ37" s="10">
        <f t="shared" si="8"/>
        <v>45.584697724342078</v>
      </c>
      <c r="AR37" s="10">
        <f t="shared" si="8"/>
        <v>47.933551011375258</v>
      </c>
      <c r="AS37" s="10">
        <f t="shared" si="8"/>
        <v>54.189487530670647</v>
      </c>
      <c r="AT37" s="10">
        <f t="shared" si="8"/>
        <v>47.989114418205745</v>
      </c>
      <c r="AU37" s="10">
        <f t="shared" si="8"/>
        <v>46.858229797434845</v>
      </c>
      <c r="AV37" s="10">
        <f t="shared" si="8"/>
        <v>47.166075024921732</v>
      </c>
      <c r="AW37" s="10">
        <f t="shared" si="8"/>
        <v>42.174189848733569</v>
      </c>
      <c r="AX37" s="10">
        <f t="shared" si="8"/>
        <v>53.791419260851605</v>
      </c>
      <c r="AY37" s="10">
        <f t="shared" si="8"/>
        <v>43.797350927034039</v>
      </c>
      <c r="AZ37" s="10">
        <f t="shared" si="8"/>
        <v>46.485328278017867</v>
      </c>
      <c r="BA37" s="10">
        <f t="shared" si="8"/>
        <v>47.74160750091486</v>
      </c>
      <c r="BB37" s="10">
        <f t="shared" si="8"/>
        <v>43.868633826013372</v>
      </c>
      <c r="BC37" s="10">
        <f t="shared" si="8"/>
        <v>43.447037694236386</v>
      </c>
      <c r="BD37" s="10">
        <f t="shared" si="8"/>
        <v>47.329239003724688</v>
      </c>
      <c r="BE37" s="10">
        <f t="shared" si="8"/>
        <v>49.373548293602369</v>
      </c>
      <c r="BF37" s="10">
        <f t="shared" si="8"/>
        <v>40.68888220966226</v>
      </c>
      <c r="BG37" s="10">
        <f t="shared" si="8"/>
        <v>41.25026135362598</v>
      </c>
      <c r="BH37" s="10">
        <f t="shared" si="8"/>
        <v>38.128639642908531</v>
      </c>
      <c r="BI37" s="10">
        <f t="shared" si="8"/>
        <v>30.441388808681285</v>
      </c>
      <c r="BJ37" s="10">
        <f t="shared" si="8"/>
        <v>31.93815533914514</v>
      </c>
      <c r="BK37" s="10">
        <f t="shared" si="8"/>
        <v>25.760878949492209</v>
      </c>
      <c r="BL37" s="10">
        <f t="shared" si="8"/>
        <v>30.037376850604925</v>
      </c>
      <c r="BM37" s="10">
        <f t="shared" si="8"/>
        <v>28.380062341825418</v>
      </c>
      <c r="BN37" s="10">
        <f t="shared" si="8"/>
        <v>30.848269763331889</v>
      </c>
      <c r="BO37" s="10">
        <f t="shared" ref="BO37:CN37" si="9">(BO5/BO31)*100</f>
        <v>36.618616571321013</v>
      </c>
      <c r="BP37" s="10">
        <f t="shared" si="9"/>
        <v>43.187891691963607</v>
      </c>
      <c r="BQ37" s="10">
        <f t="shared" si="9"/>
        <v>43.581455552347862</v>
      </c>
      <c r="BR37" s="10">
        <f t="shared" si="9"/>
        <v>46.493150715278269</v>
      </c>
      <c r="BS37" s="10">
        <f t="shared" si="9"/>
        <v>46.23223588753126</v>
      </c>
      <c r="BT37" s="10">
        <f t="shared" si="9"/>
        <v>49.715246791420924</v>
      </c>
      <c r="BU37" s="10">
        <f t="shared" si="9"/>
        <v>45.403980204724256</v>
      </c>
      <c r="BV37" s="10">
        <f t="shared" si="9"/>
        <v>61.479581990913502</v>
      </c>
      <c r="BW37" s="10">
        <f t="shared" si="9"/>
        <v>51.79875942107833</v>
      </c>
      <c r="BX37" s="10">
        <f t="shared" si="9"/>
        <v>51.207801747540785</v>
      </c>
      <c r="BY37" s="10">
        <f t="shared" si="9"/>
        <v>48.751725845548179</v>
      </c>
      <c r="BZ37" s="10">
        <f t="shared" si="9"/>
        <v>49.570483984995512</v>
      </c>
      <c r="CA37" s="10">
        <f t="shared" si="9"/>
        <v>48.952440737144798</v>
      </c>
      <c r="CB37" s="10">
        <f t="shared" si="9"/>
        <v>55.654302678210598</v>
      </c>
      <c r="CC37" s="10">
        <f t="shared" si="9"/>
        <v>57.962186106643244</v>
      </c>
      <c r="CD37" s="10">
        <f t="shared" si="9"/>
        <v>53.480326408877353</v>
      </c>
      <c r="CE37" s="10">
        <f t="shared" si="9"/>
        <v>50.443099587548225</v>
      </c>
      <c r="CF37" s="10">
        <f t="shared" si="9"/>
        <v>48.303218000166062</v>
      </c>
      <c r="CG37" s="10">
        <f t="shared" si="9"/>
        <v>43.204591889251375</v>
      </c>
      <c r="CH37" s="10">
        <f t="shared" si="9"/>
        <v>57.080215768878595</v>
      </c>
      <c r="CI37" s="10">
        <f t="shared" si="9"/>
        <v>49.793928280741127</v>
      </c>
      <c r="CJ37" s="10">
        <f t="shared" si="9"/>
        <v>48.796013436073224</v>
      </c>
      <c r="CK37" s="10">
        <f t="shared" si="9"/>
        <v>49.243861951410686</v>
      </c>
      <c r="CL37" s="10">
        <f t="shared" si="9"/>
        <v>46.854422700334524</v>
      </c>
      <c r="CM37" s="10">
        <f t="shared" si="9"/>
        <v>46.779721270113555</v>
      </c>
      <c r="CN37" s="10">
        <f t="shared" si="9"/>
        <v>49.576965810496887</v>
      </c>
      <c r="CO37" s="10"/>
    </row>
    <row r="38" spans="1:93" s="12" customFormat="1" x14ac:dyDescent="0.2">
      <c r="A38" s="9" t="s">
        <v>55</v>
      </c>
      <c r="B38" s="10">
        <f>(B6/B31)*100</f>
        <v>69.616544688284009</v>
      </c>
      <c r="C38" s="10">
        <f t="shared" ref="C38:BN38" si="10">(C6/C31)*100</f>
        <v>68.10669981870403</v>
      </c>
      <c r="D38" s="10">
        <f t="shared" si="10"/>
        <v>66.033169043456141</v>
      </c>
      <c r="E38" s="10">
        <f t="shared" si="10"/>
        <v>61.018053364511992</v>
      </c>
      <c r="F38" s="10">
        <f t="shared" si="10"/>
        <v>65.1275612096602</v>
      </c>
      <c r="G38" s="10">
        <f t="shared" si="10"/>
        <v>72.715341606920376</v>
      </c>
      <c r="H38" s="10">
        <f t="shared" si="10"/>
        <v>69.416123630116189</v>
      </c>
      <c r="I38" s="10">
        <f t="shared" si="10"/>
        <v>66.358468446548258</v>
      </c>
      <c r="J38" s="10">
        <f t="shared" si="10"/>
        <v>60.699175673662317</v>
      </c>
      <c r="K38" s="10">
        <f t="shared" si="10"/>
        <v>58.76380043050208</v>
      </c>
      <c r="L38" s="10">
        <f t="shared" si="10"/>
        <v>76.496308046606387</v>
      </c>
      <c r="M38" s="10">
        <f t="shared" si="10"/>
        <v>62.093350296107666</v>
      </c>
      <c r="N38" s="10">
        <f t="shared" si="10"/>
        <v>79.701921713391201</v>
      </c>
      <c r="O38" s="10">
        <f t="shared" si="10"/>
        <v>63.247042270670285</v>
      </c>
      <c r="P38" s="10">
        <f t="shared" si="10"/>
        <v>54.000716736785783</v>
      </c>
      <c r="Q38" s="10">
        <f t="shared" si="10"/>
        <v>33.534940667338873</v>
      </c>
      <c r="R38" s="10">
        <f t="shared" si="10"/>
        <v>38.106282868653672</v>
      </c>
      <c r="S38" s="10">
        <f t="shared" si="10"/>
        <v>44.724135939011191</v>
      </c>
      <c r="T38" s="10">
        <f t="shared" si="10"/>
        <v>52.102154347909547</v>
      </c>
      <c r="U38" s="10">
        <f t="shared" si="10"/>
        <v>59.632733564506601</v>
      </c>
      <c r="V38" s="10">
        <f t="shared" si="10"/>
        <v>58.853957654577471</v>
      </c>
      <c r="W38" s="10">
        <f t="shared" si="10"/>
        <v>56.164623516294697</v>
      </c>
      <c r="X38" s="10">
        <f t="shared" si="10"/>
        <v>64.416821576993868</v>
      </c>
      <c r="Y38" s="10">
        <f t="shared" si="10"/>
        <v>57.530450971357602</v>
      </c>
      <c r="Z38" s="10">
        <f t="shared" si="10"/>
        <v>71.480678672930082</v>
      </c>
      <c r="AA38" s="10">
        <f t="shared" si="10"/>
        <v>62.761581736139249</v>
      </c>
      <c r="AB38" s="10">
        <f t="shared" si="10"/>
        <v>65.157685039221946</v>
      </c>
      <c r="AC38" s="10">
        <f t="shared" si="10"/>
        <v>65.248496474046192</v>
      </c>
      <c r="AD38" s="10">
        <f t="shared" si="10"/>
        <v>62.9366899567977</v>
      </c>
      <c r="AE38" s="10">
        <f t="shared" si="10"/>
        <v>69.891764951099546</v>
      </c>
      <c r="AF38" s="10">
        <f t="shared" si="10"/>
        <v>61.83513428161929</v>
      </c>
      <c r="AG38" s="10">
        <f t="shared" si="10"/>
        <v>68.574446966677911</v>
      </c>
      <c r="AH38" s="10">
        <f t="shared" si="10"/>
        <v>72.658907300857834</v>
      </c>
      <c r="AI38" s="10">
        <f t="shared" si="10"/>
        <v>66.535034534241959</v>
      </c>
      <c r="AJ38" s="10">
        <f t="shared" si="10"/>
        <v>66.85464409796505</v>
      </c>
      <c r="AK38" s="10">
        <f t="shared" si="10"/>
        <v>67.987793100784174</v>
      </c>
      <c r="AL38" s="10">
        <f t="shared" si="10"/>
        <v>70.905375701802072</v>
      </c>
      <c r="AM38" s="10">
        <f t="shared" si="10"/>
        <v>66.936718436850811</v>
      </c>
      <c r="AN38" s="10">
        <f t="shared" si="10"/>
        <v>57.835394255451391</v>
      </c>
      <c r="AO38" s="10">
        <f t="shared" si="10"/>
        <v>72.948931981606833</v>
      </c>
      <c r="AP38" s="10">
        <f t="shared" si="10"/>
        <v>65.5914449635994</v>
      </c>
      <c r="AQ38" s="10">
        <f t="shared" si="10"/>
        <v>68.3456494211174</v>
      </c>
      <c r="AR38" s="10">
        <f t="shared" si="10"/>
        <v>71.3815260384075</v>
      </c>
      <c r="AS38" s="10">
        <f t="shared" si="10"/>
        <v>64.535134112349951</v>
      </c>
      <c r="AT38" s="10">
        <f t="shared" si="10"/>
        <v>67.196825497907795</v>
      </c>
      <c r="AU38" s="10">
        <f t="shared" si="10"/>
        <v>59.589425938995213</v>
      </c>
      <c r="AV38" s="10">
        <f t="shared" si="10"/>
        <v>60.966643740861372</v>
      </c>
      <c r="AW38" s="10">
        <f t="shared" si="10"/>
        <v>59.316712020888637</v>
      </c>
      <c r="AX38" s="10">
        <f t="shared" si="10"/>
        <v>69.161639563117888</v>
      </c>
      <c r="AY38" s="10">
        <f t="shared" si="10"/>
        <v>69.30643900475954</v>
      </c>
      <c r="AZ38" s="10">
        <f t="shared" si="10"/>
        <v>62.338899016848224</v>
      </c>
      <c r="BA38" s="10">
        <f t="shared" si="10"/>
        <v>68.193292518434404</v>
      </c>
      <c r="BB38" s="10">
        <f t="shared" si="10"/>
        <v>62.28349899401303</v>
      </c>
      <c r="BC38" s="10">
        <f t="shared" si="10"/>
        <v>67.266744520611837</v>
      </c>
      <c r="BD38" s="10">
        <f t="shared" si="10"/>
        <v>77.994204667573612</v>
      </c>
      <c r="BE38" s="10">
        <f t="shared" si="10"/>
        <v>71.858928352001328</v>
      </c>
      <c r="BF38" s="10">
        <f t="shared" si="10"/>
        <v>68.115038229890601</v>
      </c>
      <c r="BG38" s="10">
        <f t="shared" si="10"/>
        <v>67.660868823241685</v>
      </c>
      <c r="BH38" s="10">
        <f t="shared" si="10"/>
        <v>62.99575421400403</v>
      </c>
      <c r="BI38" s="10">
        <f t="shared" si="10"/>
        <v>54.14367211611075</v>
      </c>
      <c r="BJ38" s="10">
        <f t="shared" si="10"/>
        <v>48.949528108715072</v>
      </c>
      <c r="BK38" s="10">
        <f t="shared" si="10"/>
        <v>44.842416516382059</v>
      </c>
      <c r="BL38" s="10">
        <f t="shared" si="10"/>
        <v>51.42714624194776</v>
      </c>
      <c r="BM38" s="10">
        <f t="shared" si="10"/>
        <v>49.32912476085194</v>
      </c>
      <c r="BN38" s="10">
        <f t="shared" si="10"/>
        <v>52.340276336572501</v>
      </c>
      <c r="BO38" s="10">
        <f t="shared" ref="BO38:CN38" si="11">(BO6/BO31)*100</f>
        <v>69.193916067858524</v>
      </c>
      <c r="BP38" s="10">
        <f t="shared" si="11"/>
        <v>63.803886949137393</v>
      </c>
      <c r="BQ38" s="10">
        <f t="shared" si="11"/>
        <v>89.73709254609453</v>
      </c>
      <c r="BR38" s="10">
        <f t="shared" si="11"/>
        <v>75.762659064903175</v>
      </c>
      <c r="BS38" s="10">
        <f t="shared" si="11"/>
        <v>74.392043636259032</v>
      </c>
      <c r="BT38" s="10">
        <f t="shared" si="11"/>
        <v>79.143753488819229</v>
      </c>
      <c r="BU38" s="10">
        <f t="shared" si="11"/>
        <v>74.499537464708737</v>
      </c>
      <c r="BV38" s="10">
        <f t="shared" si="11"/>
        <v>80.148769748174303</v>
      </c>
      <c r="BW38" s="10">
        <f t="shared" si="11"/>
        <v>78.61673586268121</v>
      </c>
      <c r="BX38" s="10">
        <f t="shared" si="11"/>
        <v>78.555631764813683</v>
      </c>
      <c r="BY38" s="10">
        <f t="shared" si="11"/>
        <v>82.335463774620592</v>
      </c>
      <c r="BZ38" s="10">
        <f t="shared" si="11"/>
        <v>81.668604455218016</v>
      </c>
      <c r="CA38" s="10">
        <f t="shared" si="11"/>
        <v>89.932118527776879</v>
      </c>
      <c r="CB38" s="10">
        <f t="shared" si="11"/>
        <v>79.045006007885888</v>
      </c>
      <c r="CC38" s="10">
        <f t="shared" si="11"/>
        <v>87.760097656930483</v>
      </c>
      <c r="CD38" s="10">
        <f t="shared" si="11"/>
        <v>82.416070038186547</v>
      </c>
      <c r="CE38" s="10">
        <f t="shared" si="11"/>
        <v>80.852887697067459</v>
      </c>
      <c r="CF38" s="10">
        <f t="shared" si="11"/>
        <v>84.398920510777884</v>
      </c>
      <c r="CG38" s="10">
        <f t="shared" si="11"/>
        <v>66.986969107892151</v>
      </c>
      <c r="CH38" s="10">
        <f t="shared" si="11"/>
        <v>164.10207713875121</v>
      </c>
      <c r="CI38" s="10">
        <f t="shared" si="11"/>
        <v>74.654965775518704</v>
      </c>
      <c r="CJ38" s="10">
        <f t="shared" si="11"/>
        <v>154.68002125618017</v>
      </c>
      <c r="CK38" s="10">
        <f t="shared" si="11"/>
        <v>93.636498746854997</v>
      </c>
      <c r="CL38" s="10">
        <f t="shared" si="11"/>
        <v>70.455092774185815</v>
      </c>
      <c r="CM38" s="10">
        <f t="shared" si="11"/>
        <v>73.657177275508531</v>
      </c>
      <c r="CN38" s="10">
        <f t="shared" si="11"/>
        <v>66.576166691220067</v>
      </c>
      <c r="CO38" s="10"/>
    </row>
    <row r="39" spans="1:93" s="12" customFormat="1" x14ac:dyDescent="0.2">
      <c r="A39" s="9" t="s">
        <v>6</v>
      </c>
      <c r="B39" s="10">
        <f>(B7/B31)*100</f>
        <v>293.63468665435016</v>
      </c>
      <c r="C39" s="10">
        <f t="shared" ref="C39:BN39" si="12">(C7/C31)*100</f>
        <v>300.74755590975559</v>
      </c>
      <c r="D39" s="10">
        <f t="shared" si="12"/>
        <v>287.39918604408399</v>
      </c>
      <c r="E39" s="10">
        <f t="shared" si="12"/>
        <v>305.06222010901575</v>
      </c>
      <c r="F39" s="10">
        <f t="shared" si="12"/>
        <v>328.43614971323382</v>
      </c>
      <c r="G39" s="10">
        <f t="shared" si="12"/>
        <v>281.76348847417495</v>
      </c>
      <c r="H39" s="10">
        <f t="shared" si="12"/>
        <v>289.73484689406229</v>
      </c>
      <c r="I39" s="10">
        <f t="shared" si="12"/>
        <v>313.26191311881877</v>
      </c>
      <c r="J39" s="10">
        <f t="shared" si="12"/>
        <v>304.22011767757073</v>
      </c>
      <c r="K39" s="10">
        <f t="shared" si="12"/>
        <v>339.1761864659336</v>
      </c>
      <c r="L39" s="10">
        <f t="shared" si="12"/>
        <v>290.70435531180846</v>
      </c>
      <c r="M39" s="10">
        <f t="shared" si="12"/>
        <v>337.555941169373</v>
      </c>
      <c r="N39" s="10">
        <f t="shared" si="12"/>
        <v>294.3924460519774</v>
      </c>
      <c r="O39" s="10">
        <f t="shared" si="12"/>
        <v>238.69829740315089</v>
      </c>
      <c r="P39" s="10">
        <f t="shared" si="12"/>
        <v>280.90065733599738</v>
      </c>
      <c r="Q39" s="10">
        <f t="shared" si="12"/>
        <v>171.18365249030791</v>
      </c>
      <c r="R39" s="10">
        <f t="shared" si="12"/>
        <v>160.90086301204124</v>
      </c>
      <c r="S39" s="10">
        <f t="shared" si="12"/>
        <v>276.16240234453858</v>
      </c>
      <c r="T39" s="10">
        <f t="shared" si="12"/>
        <v>298.38104803940513</v>
      </c>
      <c r="U39" s="10">
        <f t="shared" si="12"/>
        <v>310.68033027633987</v>
      </c>
      <c r="V39" s="10">
        <f t="shared" si="12"/>
        <v>316.55206685578787</v>
      </c>
      <c r="W39" s="10">
        <f t="shared" si="12"/>
        <v>369.44930364208119</v>
      </c>
      <c r="X39" s="10">
        <f t="shared" si="12"/>
        <v>337.03940341937425</v>
      </c>
      <c r="Y39" s="10">
        <f t="shared" si="12"/>
        <v>338.35519533661278</v>
      </c>
      <c r="Z39" s="10">
        <f t="shared" si="12"/>
        <v>338.1449369139425</v>
      </c>
      <c r="AA39" s="10">
        <f t="shared" si="12"/>
        <v>295.21694586753455</v>
      </c>
      <c r="AB39" s="10">
        <f t="shared" si="12"/>
        <v>316.13088848239261</v>
      </c>
      <c r="AC39" s="10">
        <f t="shared" si="12"/>
        <v>370.07624132509113</v>
      </c>
      <c r="AD39" s="10">
        <f t="shared" si="12"/>
        <v>320.11054328230836</v>
      </c>
      <c r="AE39" s="10">
        <f t="shared" si="12"/>
        <v>313.87587884241867</v>
      </c>
      <c r="AF39" s="10">
        <f t="shared" si="12"/>
        <v>344.01989424987454</v>
      </c>
      <c r="AG39" s="10">
        <f t="shared" si="12"/>
        <v>411.45401848218495</v>
      </c>
      <c r="AH39" s="10">
        <f t="shared" si="12"/>
        <v>313.75651754182809</v>
      </c>
      <c r="AI39" s="10">
        <f t="shared" si="12"/>
        <v>402.65956929166879</v>
      </c>
      <c r="AJ39" s="10">
        <f t="shared" si="12"/>
        <v>375.18730852829924</v>
      </c>
      <c r="AK39" s="10">
        <f t="shared" si="12"/>
        <v>401.78643695033543</v>
      </c>
      <c r="AL39" s="10">
        <f t="shared" si="12"/>
        <v>338.58152093518407</v>
      </c>
      <c r="AM39" s="10">
        <f t="shared" si="12"/>
        <v>301.56373441215123</v>
      </c>
      <c r="AN39" s="10">
        <f t="shared" si="12"/>
        <v>368.15251888673231</v>
      </c>
      <c r="AO39" s="10">
        <f t="shared" si="12"/>
        <v>330.58608162274135</v>
      </c>
      <c r="AP39" s="10">
        <f t="shared" si="12"/>
        <v>328.07841722797804</v>
      </c>
      <c r="AQ39" s="10">
        <f t="shared" si="12"/>
        <v>333.09343442941093</v>
      </c>
      <c r="AR39" s="10">
        <f t="shared" si="12"/>
        <v>353.00498625788219</v>
      </c>
      <c r="AS39" s="10">
        <f t="shared" si="12"/>
        <v>375.47495334373207</v>
      </c>
      <c r="AT39" s="10">
        <f t="shared" si="12"/>
        <v>337.19076227665329</v>
      </c>
      <c r="AU39" s="10">
        <f t="shared" si="12"/>
        <v>301.20555513431435</v>
      </c>
      <c r="AV39" s="10">
        <f t="shared" si="12"/>
        <v>330.48491571268846</v>
      </c>
      <c r="AW39" s="10">
        <f t="shared" si="12"/>
        <v>321.75187916313195</v>
      </c>
      <c r="AX39" s="10">
        <f t="shared" si="12"/>
        <v>297.78661057258688</v>
      </c>
      <c r="AY39" s="10">
        <f t="shared" si="12"/>
        <v>280.67831139577947</v>
      </c>
      <c r="AZ39" s="10">
        <f t="shared" si="12"/>
        <v>274.53001364577506</v>
      </c>
      <c r="BA39" s="10">
        <f t="shared" si="12"/>
        <v>249.3926694681798</v>
      </c>
      <c r="BB39" s="10">
        <f t="shared" si="12"/>
        <v>270.08896698943568</v>
      </c>
      <c r="BC39" s="10">
        <f t="shared" si="12"/>
        <v>268.30853495077685</v>
      </c>
      <c r="BD39" s="10">
        <f t="shared" si="12"/>
        <v>258.23947581514119</v>
      </c>
      <c r="BE39" s="10">
        <f t="shared" si="12"/>
        <v>316.3371997578418</v>
      </c>
      <c r="BF39" s="10">
        <f t="shared" si="12"/>
        <v>263.40612845316127</v>
      </c>
      <c r="BG39" s="10">
        <f t="shared" si="12"/>
        <v>283.90084393814294</v>
      </c>
      <c r="BH39" s="10">
        <f t="shared" si="12"/>
        <v>266.09128979652013</v>
      </c>
      <c r="BI39" s="10">
        <f t="shared" si="12"/>
        <v>227.3672627829304</v>
      </c>
      <c r="BJ39" s="10">
        <f t="shared" si="12"/>
        <v>222.31937194704892</v>
      </c>
      <c r="BK39" s="10">
        <f t="shared" si="12"/>
        <v>194.69644678347979</v>
      </c>
      <c r="BL39" s="10">
        <f t="shared" si="12"/>
        <v>203.4195647419144</v>
      </c>
      <c r="BM39" s="10">
        <f t="shared" si="12"/>
        <v>202.74486252859688</v>
      </c>
      <c r="BN39" s="10">
        <f t="shared" si="12"/>
        <v>234.53531041496583</v>
      </c>
      <c r="BO39" s="10">
        <f t="shared" ref="BO39:CN39" si="13">(BO7/BO31)*100</f>
        <v>242.69876397939484</v>
      </c>
      <c r="BP39" s="10">
        <f t="shared" si="13"/>
        <v>261.22169952942664</v>
      </c>
      <c r="BQ39" s="10">
        <f t="shared" si="13"/>
        <v>345.29985066190437</v>
      </c>
      <c r="BR39" s="10">
        <f t="shared" si="13"/>
        <v>281.80265336669754</v>
      </c>
      <c r="BS39" s="10">
        <f t="shared" si="13"/>
        <v>290.78200236747449</v>
      </c>
      <c r="BT39" s="10">
        <f t="shared" si="13"/>
        <v>320.47781214415176</v>
      </c>
      <c r="BU39" s="10">
        <f t="shared" si="13"/>
        <v>298.2041355171541</v>
      </c>
      <c r="BV39" s="10">
        <f t="shared" si="13"/>
        <v>369.3896676524385</v>
      </c>
      <c r="BW39" s="10">
        <f t="shared" si="13"/>
        <v>278.71584419789673</v>
      </c>
      <c r="BX39" s="10">
        <f t="shared" si="13"/>
        <v>314.52369915189848</v>
      </c>
      <c r="BY39" s="10">
        <f t="shared" si="13"/>
        <v>324.38997591993427</v>
      </c>
      <c r="BZ39" s="10">
        <f t="shared" si="13"/>
        <v>345.03681594755011</v>
      </c>
      <c r="CA39" s="10">
        <f t="shared" si="13"/>
        <v>376.21344381056707</v>
      </c>
      <c r="CB39" s="10">
        <f t="shared" si="13"/>
        <v>363.37045849982042</v>
      </c>
      <c r="CC39" s="10">
        <f t="shared" si="13"/>
        <v>383.5883255835663</v>
      </c>
      <c r="CD39" s="10">
        <f t="shared" si="13"/>
        <v>377.03553852550601</v>
      </c>
      <c r="CE39" s="10">
        <f t="shared" si="13"/>
        <v>369.63886349141006</v>
      </c>
      <c r="CF39" s="10">
        <f t="shared" si="13"/>
        <v>263.52877558636953</v>
      </c>
      <c r="CG39" s="10">
        <f t="shared" si="13"/>
        <v>378.64177374578145</v>
      </c>
      <c r="CH39" s="10">
        <f t="shared" si="13"/>
        <v>355.63474341557941</v>
      </c>
      <c r="CI39" s="10">
        <f t="shared" si="13"/>
        <v>268.31578774265142</v>
      </c>
      <c r="CJ39" s="10">
        <f t="shared" si="13"/>
        <v>329.51833718381329</v>
      </c>
      <c r="CK39" s="10">
        <f t="shared" si="13"/>
        <v>326.78652325075228</v>
      </c>
      <c r="CL39" s="10">
        <f t="shared" si="13"/>
        <v>309.68772172343904</v>
      </c>
      <c r="CM39" s="10">
        <f t="shared" si="13"/>
        <v>303.4549821089837</v>
      </c>
      <c r="CN39" s="10">
        <f t="shared" si="13"/>
        <v>325.63269926352268</v>
      </c>
      <c r="CO39" s="10"/>
    </row>
    <row r="40" spans="1:93" s="12" customFormat="1" x14ac:dyDescent="0.2">
      <c r="A40" s="9" t="s">
        <v>52</v>
      </c>
      <c r="B40" s="25" t="e">
        <f>(B8/B31)*100</f>
        <v>#VALUE!</v>
      </c>
      <c r="C40" s="25" t="e">
        <f t="shared" ref="C40:BN40" si="14">(C8/C31)*100</f>
        <v>#VALUE!</v>
      </c>
      <c r="D40" s="25" t="e">
        <f t="shared" si="14"/>
        <v>#VALUE!</v>
      </c>
      <c r="E40" s="25" t="e">
        <f t="shared" si="14"/>
        <v>#VALUE!</v>
      </c>
      <c r="F40" s="25" t="e">
        <f t="shared" si="14"/>
        <v>#VALUE!</v>
      </c>
      <c r="G40" s="25" t="e">
        <f t="shared" si="14"/>
        <v>#VALUE!</v>
      </c>
      <c r="H40" s="25" t="e">
        <f t="shared" si="14"/>
        <v>#VALUE!</v>
      </c>
      <c r="I40" s="25" t="e">
        <f t="shared" si="14"/>
        <v>#VALUE!</v>
      </c>
      <c r="J40" s="25" t="e">
        <f t="shared" si="14"/>
        <v>#VALUE!</v>
      </c>
      <c r="K40" s="25" t="e">
        <f t="shared" si="14"/>
        <v>#VALUE!</v>
      </c>
      <c r="L40" s="25" t="e">
        <f t="shared" si="14"/>
        <v>#VALUE!</v>
      </c>
      <c r="M40" s="25" t="e">
        <f t="shared" si="14"/>
        <v>#VALUE!</v>
      </c>
      <c r="N40" s="25" t="e">
        <f t="shared" si="14"/>
        <v>#VALUE!</v>
      </c>
      <c r="O40" s="25" t="e">
        <f t="shared" si="14"/>
        <v>#VALUE!</v>
      </c>
      <c r="P40" s="25" t="e">
        <f t="shared" si="14"/>
        <v>#VALUE!</v>
      </c>
      <c r="Q40" s="25" t="e">
        <f t="shared" si="14"/>
        <v>#VALUE!</v>
      </c>
      <c r="R40" s="25" t="e">
        <f t="shared" si="14"/>
        <v>#VALUE!</v>
      </c>
      <c r="S40" s="25" t="e">
        <f t="shared" si="14"/>
        <v>#VALUE!</v>
      </c>
      <c r="T40" s="25" t="e">
        <f t="shared" si="14"/>
        <v>#VALUE!</v>
      </c>
      <c r="U40" s="25" t="e">
        <f t="shared" si="14"/>
        <v>#VALUE!</v>
      </c>
      <c r="V40" s="25" t="e">
        <f t="shared" si="14"/>
        <v>#VALUE!</v>
      </c>
      <c r="W40" s="25" t="e">
        <f t="shared" si="14"/>
        <v>#VALUE!</v>
      </c>
      <c r="X40" s="25" t="e">
        <f t="shared" si="14"/>
        <v>#VALUE!</v>
      </c>
      <c r="Y40" s="25" t="e">
        <f t="shared" si="14"/>
        <v>#VALUE!</v>
      </c>
      <c r="Z40" s="25" t="e">
        <f t="shared" si="14"/>
        <v>#VALUE!</v>
      </c>
      <c r="AA40" s="25" t="e">
        <f t="shared" si="14"/>
        <v>#VALUE!</v>
      </c>
      <c r="AB40" s="25" t="e">
        <f t="shared" si="14"/>
        <v>#VALUE!</v>
      </c>
      <c r="AC40" s="25" t="e">
        <f t="shared" si="14"/>
        <v>#VALUE!</v>
      </c>
      <c r="AD40" s="25" t="e">
        <f t="shared" si="14"/>
        <v>#VALUE!</v>
      </c>
      <c r="AE40" s="25" t="e">
        <f t="shared" si="14"/>
        <v>#VALUE!</v>
      </c>
      <c r="AF40" s="25" t="e">
        <f t="shared" si="14"/>
        <v>#VALUE!</v>
      </c>
      <c r="AG40" s="25" t="e">
        <f t="shared" si="14"/>
        <v>#VALUE!</v>
      </c>
      <c r="AH40" s="25" t="e">
        <f t="shared" si="14"/>
        <v>#VALUE!</v>
      </c>
      <c r="AI40" s="25" t="e">
        <f t="shared" si="14"/>
        <v>#VALUE!</v>
      </c>
      <c r="AJ40" s="25" t="e">
        <f t="shared" si="14"/>
        <v>#VALUE!</v>
      </c>
      <c r="AK40" s="25" t="e">
        <f t="shared" si="14"/>
        <v>#VALUE!</v>
      </c>
      <c r="AL40" s="25" t="e">
        <f t="shared" si="14"/>
        <v>#VALUE!</v>
      </c>
      <c r="AM40" s="25" t="e">
        <f t="shared" si="14"/>
        <v>#VALUE!</v>
      </c>
      <c r="AN40" s="25" t="e">
        <f t="shared" si="14"/>
        <v>#VALUE!</v>
      </c>
      <c r="AO40" s="25" t="e">
        <f t="shared" si="14"/>
        <v>#VALUE!</v>
      </c>
      <c r="AP40" s="25" t="e">
        <f t="shared" si="14"/>
        <v>#VALUE!</v>
      </c>
      <c r="AQ40" s="25" t="e">
        <f t="shared" si="14"/>
        <v>#VALUE!</v>
      </c>
      <c r="AR40" s="25" t="e">
        <f t="shared" si="14"/>
        <v>#VALUE!</v>
      </c>
      <c r="AS40" s="25" t="e">
        <f t="shared" si="14"/>
        <v>#VALUE!</v>
      </c>
      <c r="AT40" s="25" t="e">
        <f t="shared" si="14"/>
        <v>#VALUE!</v>
      </c>
      <c r="AU40" s="25" t="e">
        <f t="shared" si="14"/>
        <v>#VALUE!</v>
      </c>
      <c r="AV40" s="25" t="e">
        <f t="shared" si="14"/>
        <v>#VALUE!</v>
      </c>
      <c r="AW40" s="25" t="e">
        <f t="shared" si="14"/>
        <v>#VALUE!</v>
      </c>
      <c r="AX40" s="25" t="e">
        <f t="shared" si="14"/>
        <v>#VALUE!</v>
      </c>
      <c r="AY40" s="25" t="e">
        <f t="shared" si="14"/>
        <v>#VALUE!</v>
      </c>
      <c r="AZ40" s="25" t="e">
        <f t="shared" si="14"/>
        <v>#VALUE!</v>
      </c>
      <c r="BA40" s="25" t="e">
        <f t="shared" si="14"/>
        <v>#VALUE!</v>
      </c>
      <c r="BB40" s="25" t="e">
        <f t="shared" si="14"/>
        <v>#VALUE!</v>
      </c>
      <c r="BC40" s="25" t="e">
        <f t="shared" si="14"/>
        <v>#VALUE!</v>
      </c>
      <c r="BD40" s="25" t="e">
        <f t="shared" si="14"/>
        <v>#VALUE!</v>
      </c>
      <c r="BE40" s="25" t="e">
        <f t="shared" si="14"/>
        <v>#VALUE!</v>
      </c>
      <c r="BF40" s="25" t="e">
        <f t="shared" si="14"/>
        <v>#VALUE!</v>
      </c>
      <c r="BG40" s="25" t="e">
        <f t="shared" si="14"/>
        <v>#VALUE!</v>
      </c>
      <c r="BH40" s="25" t="e">
        <f t="shared" si="14"/>
        <v>#VALUE!</v>
      </c>
      <c r="BI40" s="25" t="e">
        <f t="shared" si="14"/>
        <v>#VALUE!</v>
      </c>
      <c r="BJ40" s="25">
        <f t="shared" si="14"/>
        <v>30.153391875490609</v>
      </c>
      <c r="BK40" s="25">
        <f t="shared" si="14"/>
        <v>28.41145374845614</v>
      </c>
      <c r="BL40" s="25">
        <f t="shared" si="14"/>
        <v>30.784980913808695</v>
      </c>
      <c r="BM40" s="25">
        <f t="shared" si="14"/>
        <v>27.804205371176703</v>
      </c>
      <c r="BN40" s="25">
        <f t="shared" si="14"/>
        <v>33.215633279228619</v>
      </c>
      <c r="BO40" s="25">
        <f t="shared" ref="BO40:CN40" si="15">(BO8/BO31)*100</f>
        <v>38.853683310545534</v>
      </c>
      <c r="BP40" s="25">
        <f t="shared" si="15"/>
        <v>34.390395365567748</v>
      </c>
      <c r="BQ40" s="25">
        <f t="shared" si="15"/>
        <v>45.065735231238698</v>
      </c>
      <c r="BR40" s="25">
        <f t="shared" si="15"/>
        <v>44.020094329284319</v>
      </c>
      <c r="BS40" s="25">
        <f t="shared" si="15"/>
        <v>48.818347269935046</v>
      </c>
      <c r="BT40" s="25">
        <f t="shared" si="15"/>
        <v>48.59395598616841</v>
      </c>
      <c r="BU40" s="25">
        <f t="shared" si="15"/>
        <v>45.188674432667248</v>
      </c>
      <c r="BV40" s="25">
        <f t="shared" si="15"/>
        <v>50.189558897818728</v>
      </c>
      <c r="BW40" s="25">
        <f t="shared" si="15"/>
        <v>47.945325728036501</v>
      </c>
      <c r="BX40" s="25">
        <f t="shared" si="15"/>
        <v>48.506252612645149</v>
      </c>
      <c r="BY40" s="25">
        <f t="shared" si="15"/>
        <v>49.913916947964942</v>
      </c>
      <c r="BZ40" s="25">
        <f t="shared" si="15"/>
        <v>46.223803091521006</v>
      </c>
      <c r="CA40" s="25">
        <f t="shared" si="15"/>
        <v>52.404218229545322</v>
      </c>
      <c r="CB40" s="25">
        <f t="shared" si="15"/>
        <v>47.974995725940218</v>
      </c>
      <c r="CC40" s="25">
        <f t="shared" si="15"/>
        <v>54.386404356433857</v>
      </c>
      <c r="CD40" s="25">
        <f t="shared" si="15"/>
        <v>53.161853934896342</v>
      </c>
      <c r="CE40" s="25">
        <f t="shared" si="15"/>
        <v>46.653368095667112</v>
      </c>
      <c r="CF40" s="25">
        <f t="shared" si="15"/>
        <v>40.501064088400554</v>
      </c>
      <c r="CG40" s="25">
        <f t="shared" si="15"/>
        <v>42.142054063621721</v>
      </c>
      <c r="CH40" s="25">
        <f t="shared" si="15"/>
        <v>47.204339322857471</v>
      </c>
      <c r="CI40" s="25">
        <f t="shared" si="15"/>
        <v>40.303377244029669</v>
      </c>
      <c r="CJ40" s="25">
        <f t="shared" si="15"/>
        <v>42.548276285438469</v>
      </c>
      <c r="CK40" s="25">
        <f t="shared" si="15"/>
        <v>48.159156031443715</v>
      </c>
      <c r="CL40" s="25">
        <f t="shared" si="15"/>
        <v>45.057709781051024</v>
      </c>
      <c r="CM40" s="25">
        <f t="shared" si="15"/>
        <v>48.824020496819742</v>
      </c>
      <c r="CN40" s="25">
        <f t="shared" si="15"/>
        <v>41.368495667957575</v>
      </c>
      <c r="CO40" s="25"/>
    </row>
    <row r="41" spans="1:93" s="12" customFormat="1" x14ac:dyDescent="0.2">
      <c r="A41" s="9" t="s">
        <v>7</v>
      </c>
      <c r="B41" s="10">
        <f>(B9/B31)*100</f>
        <v>71.931268429266154</v>
      </c>
      <c r="C41" s="10">
        <f t="shared" ref="C41:BN41" si="16">(C9/C31)*100</f>
        <v>52.205043860206423</v>
      </c>
      <c r="D41" s="10">
        <f t="shared" si="16"/>
        <v>53.485201044295152</v>
      </c>
      <c r="E41" s="10">
        <f t="shared" si="16"/>
        <v>50.989305412723759</v>
      </c>
      <c r="F41" s="10">
        <f t="shared" si="16"/>
        <v>62.978713762546732</v>
      </c>
      <c r="G41" s="10">
        <f t="shared" si="16"/>
        <v>53.631676842380628</v>
      </c>
      <c r="H41" s="10">
        <f t="shared" si="16"/>
        <v>59.882951400036447</v>
      </c>
      <c r="I41" s="10">
        <f t="shared" si="16"/>
        <v>66.298773369971002</v>
      </c>
      <c r="J41" s="10">
        <f t="shared" si="16"/>
        <v>58.090421670078698</v>
      </c>
      <c r="K41" s="10">
        <f t="shared" si="16"/>
        <v>61.130552559068107</v>
      </c>
      <c r="L41" s="10">
        <f t="shared" si="16"/>
        <v>50.220362072764466</v>
      </c>
      <c r="M41" s="10">
        <f t="shared" si="16"/>
        <v>51.051497613992446</v>
      </c>
      <c r="N41" s="10">
        <f t="shared" si="16"/>
        <v>72.52457631182979</v>
      </c>
      <c r="O41" s="10">
        <f t="shared" si="16"/>
        <v>51.344297281391839</v>
      </c>
      <c r="P41" s="10">
        <f t="shared" si="16"/>
        <v>43.582403620993517</v>
      </c>
      <c r="Q41" s="10">
        <f t="shared" si="16"/>
        <v>40.112313353065204</v>
      </c>
      <c r="R41" s="10">
        <f t="shared" si="16"/>
        <v>40.872006076681913</v>
      </c>
      <c r="S41" s="10">
        <f t="shared" si="16"/>
        <v>56.198913700431532</v>
      </c>
      <c r="T41" s="10">
        <f t="shared" si="16"/>
        <v>57.039958696093315</v>
      </c>
      <c r="U41" s="10">
        <f t="shared" si="16"/>
        <v>68.1658421922061</v>
      </c>
      <c r="V41" s="10">
        <f t="shared" si="16"/>
        <v>65.690049959509054</v>
      </c>
      <c r="W41" s="10">
        <f t="shared" si="16"/>
        <v>67.156729884306444</v>
      </c>
      <c r="X41" s="10">
        <f t="shared" si="16"/>
        <v>66.049973977221242</v>
      </c>
      <c r="Y41" s="10">
        <f t="shared" si="16"/>
        <v>63.661803615918409</v>
      </c>
      <c r="Z41" s="10">
        <f t="shared" si="16"/>
        <v>64.251236902161878</v>
      </c>
      <c r="AA41" s="10">
        <f t="shared" si="16"/>
        <v>66.315567878093447</v>
      </c>
      <c r="AB41" s="10">
        <f t="shared" si="16"/>
        <v>62.192311760250917</v>
      </c>
      <c r="AC41" s="10">
        <f t="shared" si="16"/>
        <v>79.045467400771031</v>
      </c>
      <c r="AD41" s="10">
        <f t="shared" si="16"/>
        <v>63.310014614112752</v>
      </c>
      <c r="AE41" s="10">
        <f t="shared" si="16"/>
        <v>67.59783720140139</v>
      </c>
      <c r="AF41" s="10">
        <f t="shared" si="16"/>
        <v>64.400320860102624</v>
      </c>
      <c r="AG41" s="10">
        <f t="shared" si="16"/>
        <v>76.678696975788512</v>
      </c>
      <c r="AH41" s="10">
        <f t="shared" si="16"/>
        <v>74.827269152812278</v>
      </c>
      <c r="AI41" s="10">
        <f t="shared" si="16"/>
        <v>69.63133028758854</v>
      </c>
      <c r="AJ41" s="10">
        <f t="shared" si="16"/>
        <v>74.973123541677367</v>
      </c>
      <c r="AK41" s="10">
        <f t="shared" si="16"/>
        <v>63.864265633114869</v>
      </c>
      <c r="AL41" s="10">
        <f t="shared" si="16"/>
        <v>73.696494415086022</v>
      </c>
      <c r="AM41" s="10">
        <f t="shared" si="16"/>
        <v>66.814458047017055</v>
      </c>
      <c r="AN41" s="10">
        <f t="shared" si="16"/>
        <v>64.776207790886147</v>
      </c>
      <c r="AO41" s="10">
        <f t="shared" si="16"/>
        <v>78.715426913748288</v>
      </c>
      <c r="AP41" s="10">
        <f t="shared" si="16"/>
        <v>82.312355755250962</v>
      </c>
      <c r="AQ41" s="10">
        <f t="shared" si="16"/>
        <v>76.964093566455063</v>
      </c>
      <c r="AR41" s="10">
        <f t="shared" si="16"/>
        <v>82.248743015939922</v>
      </c>
      <c r="AS41" s="10">
        <f t="shared" si="16"/>
        <v>82.069143030490864</v>
      </c>
      <c r="AT41" s="10">
        <f t="shared" si="16"/>
        <v>68.052068649103973</v>
      </c>
      <c r="AU41" s="10">
        <f t="shared" si="16"/>
        <v>61.94502967806158</v>
      </c>
      <c r="AV41" s="10">
        <f t="shared" si="16"/>
        <v>71.312666135262376</v>
      </c>
      <c r="AW41" s="10">
        <f t="shared" si="16"/>
        <v>62.289194442914273</v>
      </c>
      <c r="AX41" s="10">
        <f t="shared" si="16"/>
        <v>78.856994760507035</v>
      </c>
      <c r="AY41" s="10">
        <f t="shared" si="16"/>
        <v>61.455715173455928</v>
      </c>
      <c r="AZ41" s="10">
        <f t="shared" si="16"/>
        <v>64.401822279690819</v>
      </c>
      <c r="BA41" s="10">
        <f t="shared" si="16"/>
        <v>68.500916668798411</v>
      </c>
      <c r="BB41" s="10">
        <f t="shared" si="16"/>
        <v>69.183675401953209</v>
      </c>
      <c r="BC41" s="10">
        <f t="shared" si="16"/>
        <v>65.248355371966085</v>
      </c>
      <c r="BD41" s="10">
        <f t="shared" si="16"/>
        <v>74.052665889218076</v>
      </c>
      <c r="BE41" s="10">
        <f t="shared" si="16"/>
        <v>75.379577496894754</v>
      </c>
      <c r="BF41" s="10">
        <f t="shared" si="16"/>
        <v>62.053360670168679</v>
      </c>
      <c r="BG41" s="10">
        <f t="shared" si="16"/>
        <v>69.839019289957463</v>
      </c>
      <c r="BH41" s="10">
        <f t="shared" si="16"/>
        <v>77.059605098295378</v>
      </c>
      <c r="BI41" s="10">
        <f t="shared" si="16"/>
        <v>51.525193110071967</v>
      </c>
      <c r="BJ41" s="10">
        <f t="shared" si="16"/>
        <v>44.315273022446107</v>
      </c>
      <c r="BK41" s="10">
        <f t="shared" si="16"/>
        <v>42.725588862884386</v>
      </c>
      <c r="BL41" s="10">
        <f t="shared" si="16"/>
        <v>53.551665195128507</v>
      </c>
      <c r="BM41" s="10">
        <f t="shared" si="16"/>
        <v>50.146066728687124</v>
      </c>
      <c r="BN41" s="10">
        <f t="shared" si="16"/>
        <v>54.884931408965166</v>
      </c>
      <c r="BO41" s="10">
        <f t="shared" ref="BO41:CN41" si="17">(BO9/BO31)*100</f>
        <v>69.971605005231268</v>
      </c>
      <c r="BP41" s="10">
        <f t="shared" si="17"/>
        <v>74.032393971931043</v>
      </c>
      <c r="BQ41" s="10">
        <f t="shared" si="17"/>
        <v>72.950295195374082</v>
      </c>
      <c r="BR41" s="10">
        <f t="shared" si="17"/>
        <v>72.21640068932787</v>
      </c>
      <c r="BS41" s="10">
        <f t="shared" si="17"/>
        <v>73.843314154195824</v>
      </c>
      <c r="BT41" s="10">
        <f t="shared" si="17"/>
        <v>77.489256005200815</v>
      </c>
      <c r="BU41" s="10">
        <f t="shared" si="17"/>
        <v>73.439950337974068</v>
      </c>
      <c r="BV41" s="10">
        <f t="shared" si="17"/>
        <v>83.822593591045987</v>
      </c>
      <c r="BW41" s="10">
        <f t="shared" si="17"/>
        <v>70.384362958630277</v>
      </c>
      <c r="BX41" s="10">
        <f t="shared" si="17"/>
        <v>71.714801612073614</v>
      </c>
      <c r="BY41" s="10">
        <f t="shared" si="17"/>
        <v>81.825095015404742</v>
      </c>
      <c r="BZ41" s="10">
        <f t="shared" si="17"/>
        <v>70.752025738841255</v>
      </c>
      <c r="CA41" s="10">
        <f t="shared" si="17"/>
        <v>84.972416687756038</v>
      </c>
      <c r="CB41" s="10">
        <f t="shared" si="17"/>
        <v>84.02995476604373</v>
      </c>
      <c r="CC41" s="10">
        <f t="shared" si="17"/>
        <v>84.973746819145163</v>
      </c>
      <c r="CD41" s="10">
        <f t="shared" si="17"/>
        <v>82.732539925385652</v>
      </c>
      <c r="CE41" s="10">
        <f t="shared" si="17"/>
        <v>76.616888780256659</v>
      </c>
      <c r="CF41" s="10">
        <f t="shared" si="17"/>
        <v>81.017118419865241</v>
      </c>
      <c r="CG41" s="10">
        <f t="shared" si="17"/>
        <v>71.17919044864621</v>
      </c>
      <c r="CH41" s="10">
        <f t="shared" si="17"/>
        <v>76.614305898199149</v>
      </c>
      <c r="CI41" s="10">
        <f t="shared" si="17"/>
        <v>73.532805910948539</v>
      </c>
      <c r="CJ41" s="10">
        <f t="shared" si="17"/>
        <v>69.730357803940208</v>
      </c>
      <c r="CK41" s="10">
        <f t="shared" si="17"/>
        <v>74.546134306913544</v>
      </c>
      <c r="CL41" s="10">
        <f t="shared" si="17"/>
        <v>73.134586457595546</v>
      </c>
      <c r="CM41" s="10">
        <f t="shared" si="17"/>
        <v>75.911571831733255</v>
      </c>
      <c r="CN41" s="10">
        <f t="shared" si="17"/>
        <v>75.399177976451696</v>
      </c>
      <c r="CO41" s="10"/>
    </row>
    <row r="42" spans="1:93" s="12" customFormat="1" x14ac:dyDescent="0.2">
      <c r="A42" s="9" t="s">
        <v>8</v>
      </c>
      <c r="B42" s="10">
        <f>(B10/B31)*100</f>
        <v>14.188163251852092</v>
      </c>
      <c r="C42" s="10">
        <f t="shared" ref="C42:BN42" si="18">(C10/C31)*100</f>
        <v>25.643469665326723</v>
      </c>
      <c r="D42" s="10">
        <f t="shared" si="18"/>
        <v>15.981772548749229</v>
      </c>
      <c r="E42" s="10">
        <f t="shared" si="18"/>
        <v>15.725322510921059</v>
      </c>
      <c r="F42" s="10">
        <f t="shared" si="18"/>
        <v>24.85639475682143</v>
      </c>
      <c r="G42" s="10">
        <f t="shared" si="18"/>
        <v>14.687125571414001</v>
      </c>
      <c r="H42" s="10">
        <f t="shared" si="18"/>
        <v>14.525874565064601</v>
      </c>
      <c r="I42" s="10">
        <f t="shared" si="18"/>
        <v>18.157006481845116</v>
      </c>
      <c r="J42" s="10">
        <f t="shared" si="18"/>
        <v>15.732251647746128</v>
      </c>
      <c r="K42" s="10">
        <f t="shared" si="18"/>
        <v>13.966421612715266</v>
      </c>
      <c r="L42" s="10">
        <f t="shared" si="18"/>
        <v>13.255813265557848</v>
      </c>
      <c r="M42" s="10">
        <f t="shared" si="18"/>
        <v>12.977574414999493</v>
      </c>
      <c r="N42" s="10">
        <f t="shared" si="18"/>
        <v>11.071882366174089</v>
      </c>
      <c r="O42" s="10">
        <f t="shared" si="18"/>
        <v>16.276511394614193</v>
      </c>
      <c r="P42" s="10">
        <f t="shared" si="18"/>
        <v>12.32976484487885</v>
      </c>
      <c r="Q42" s="10">
        <f t="shared" si="18"/>
        <v>8.096422163629228</v>
      </c>
      <c r="R42" s="10">
        <f t="shared" si="18"/>
        <v>6.8732570456135385</v>
      </c>
      <c r="S42" s="10">
        <f t="shared" si="18"/>
        <v>10.816344951048812</v>
      </c>
      <c r="T42" s="10">
        <f t="shared" si="18"/>
        <v>12.156302584327797</v>
      </c>
      <c r="U42" s="10">
        <f t="shared" si="18"/>
        <v>13.725156151724663</v>
      </c>
      <c r="V42" s="10">
        <f t="shared" si="18"/>
        <v>14.916348233097446</v>
      </c>
      <c r="W42" s="10">
        <f t="shared" si="18"/>
        <v>15.91750092171152</v>
      </c>
      <c r="X42" s="10">
        <f t="shared" si="18"/>
        <v>14.5688525854729</v>
      </c>
      <c r="Y42" s="10">
        <f t="shared" si="18"/>
        <v>13.832150923622882</v>
      </c>
      <c r="Z42" s="10">
        <f t="shared" si="18"/>
        <v>13.162981431710675</v>
      </c>
      <c r="AA42" s="10">
        <f t="shared" si="18"/>
        <v>15.61382141805105</v>
      </c>
      <c r="AB42" s="10">
        <f t="shared" si="18"/>
        <v>14.557800985487043</v>
      </c>
      <c r="AC42" s="10">
        <f t="shared" si="18"/>
        <v>17.299668930010629</v>
      </c>
      <c r="AD42" s="10">
        <f t="shared" si="18"/>
        <v>16.371963057229717</v>
      </c>
      <c r="AE42" s="10">
        <f t="shared" si="18"/>
        <v>14.088752179723574</v>
      </c>
      <c r="AF42" s="10">
        <f t="shared" si="18"/>
        <v>14.978141725726246</v>
      </c>
      <c r="AG42" s="10">
        <f t="shared" si="18"/>
        <v>16.370000086207877</v>
      </c>
      <c r="AH42" s="10">
        <f t="shared" si="18"/>
        <v>19.432241078848538</v>
      </c>
      <c r="AI42" s="10">
        <f t="shared" si="18"/>
        <v>20.201755212489868</v>
      </c>
      <c r="AJ42" s="10">
        <f t="shared" si="18"/>
        <v>17.546493454306365</v>
      </c>
      <c r="AK42" s="10">
        <f t="shared" si="18"/>
        <v>16.407884274818333</v>
      </c>
      <c r="AL42" s="10">
        <f t="shared" si="18"/>
        <v>14.418730459908133</v>
      </c>
      <c r="AM42" s="10">
        <f t="shared" si="18"/>
        <v>17.788096918053515</v>
      </c>
      <c r="AN42" s="10">
        <f t="shared" si="18"/>
        <v>18.718925656520476</v>
      </c>
      <c r="AO42" s="10">
        <f t="shared" si="18"/>
        <v>17.488754516243272</v>
      </c>
      <c r="AP42" s="10">
        <f t="shared" si="18"/>
        <v>17.94345562818414</v>
      </c>
      <c r="AQ42" s="10">
        <f t="shared" si="18"/>
        <v>18.903656989074026</v>
      </c>
      <c r="AR42" s="10">
        <f t="shared" si="18"/>
        <v>17.626199971588274</v>
      </c>
      <c r="AS42" s="10">
        <f t="shared" si="18"/>
        <v>22.954260517361046</v>
      </c>
      <c r="AT42" s="10">
        <f t="shared" si="18"/>
        <v>22.765305564641483</v>
      </c>
      <c r="AU42" s="10">
        <f t="shared" si="18"/>
        <v>19.824348045991762</v>
      </c>
      <c r="AV42" s="10">
        <f t="shared" si="18"/>
        <v>17.783433882277119</v>
      </c>
      <c r="AW42" s="10">
        <f t="shared" si="18"/>
        <v>21.38614132977844</v>
      </c>
      <c r="AX42" s="10">
        <f t="shared" si="18"/>
        <v>15.172298220500938</v>
      </c>
      <c r="AY42" s="10">
        <f t="shared" si="18"/>
        <v>20.638741868284868</v>
      </c>
      <c r="AZ42" s="10">
        <f t="shared" si="18"/>
        <v>21.324207483983933</v>
      </c>
      <c r="BA42" s="10">
        <f t="shared" si="18"/>
        <v>20.496008022095964</v>
      </c>
      <c r="BB42" s="10">
        <f t="shared" si="18"/>
        <v>17.512295102936655</v>
      </c>
      <c r="BC42" s="10">
        <f t="shared" si="18"/>
        <v>17.56081181601785</v>
      </c>
      <c r="BD42" s="10">
        <f t="shared" si="18"/>
        <v>16.854024022435045</v>
      </c>
      <c r="BE42" s="10">
        <f t="shared" si="18"/>
        <v>18.725961260651165</v>
      </c>
      <c r="BF42" s="10">
        <f t="shared" si="18"/>
        <v>17.925839986408228</v>
      </c>
      <c r="BG42" s="10">
        <f t="shared" si="18"/>
        <v>16.103854596832957</v>
      </c>
      <c r="BH42" s="10">
        <f t="shared" si="18"/>
        <v>14.938478631229387</v>
      </c>
      <c r="BI42" s="10">
        <f t="shared" si="18"/>
        <v>11.747392810954354</v>
      </c>
      <c r="BJ42" s="10">
        <f t="shared" si="18"/>
        <v>8.0085505979022926</v>
      </c>
      <c r="BK42" s="10">
        <f t="shared" si="18"/>
        <v>10.34050505491528</v>
      </c>
      <c r="BL42" s="10">
        <f t="shared" si="18"/>
        <v>10.087871320096017</v>
      </c>
      <c r="BM42" s="10">
        <f t="shared" si="18"/>
        <v>10.071174005040044</v>
      </c>
      <c r="BN42" s="10">
        <f t="shared" si="18"/>
        <v>11.656516207498326</v>
      </c>
      <c r="BO42" s="10">
        <f t="shared" ref="BO42:CN42" si="19">(BO10/BO31)*100</f>
        <v>11.769864719360418</v>
      </c>
      <c r="BP42" s="10">
        <f t="shared" si="19"/>
        <v>11.49620988264398</v>
      </c>
      <c r="BQ42" s="10">
        <f t="shared" si="19"/>
        <v>16.325677030552683</v>
      </c>
      <c r="BR42" s="10">
        <f t="shared" si="19"/>
        <v>16.736022887371384</v>
      </c>
      <c r="BS42" s="10">
        <f t="shared" si="19"/>
        <v>16.576244965684907</v>
      </c>
      <c r="BT42" s="10">
        <f t="shared" si="19"/>
        <v>15.950279373979184</v>
      </c>
      <c r="BU42" s="10">
        <f t="shared" si="19"/>
        <v>17.643232675169603</v>
      </c>
      <c r="BV42" s="10">
        <f t="shared" si="19"/>
        <v>12.748131853233222</v>
      </c>
      <c r="BW42" s="10">
        <f t="shared" si="19"/>
        <v>20.380412824539132</v>
      </c>
      <c r="BX42" s="10">
        <f t="shared" si="19"/>
        <v>18.132216224005322</v>
      </c>
      <c r="BY42" s="10">
        <f t="shared" si="19"/>
        <v>18.748926095482723</v>
      </c>
      <c r="BZ42" s="10">
        <f t="shared" si="19"/>
        <v>20.553214757068147</v>
      </c>
      <c r="CA42" s="10">
        <f t="shared" si="19"/>
        <v>20.08819200961257</v>
      </c>
      <c r="CB42" s="10">
        <f t="shared" si="19"/>
        <v>20.368983505048163</v>
      </c>
      <c r="CC42" s="10">
        <f t="shared" si="19"/>
        <v>21.260149557216696</v>
      </c>
      <c r="CD42" s="10">
        <f t="shared" si="19"/>
        <v>20.079167522458917</v>
      </c>
      <c r="CE42" s="10">
        <f t="shared" si="19"/>
        <v>17.153243705920275</v>
      </c>
      <c r="CF42" s="10">
        <f t="shared" si="19"/>
        <v>16.016819150905604</v>
      </c>
      <c r="CG42" s="10">
        <f t="shared" si="19"/>
        <v>14.897554399421068</v>
      </c>
      <c r="CH42" s="10">
        <f t="shared" si="19"/>
        <v>13.474362770401457</v>
      </c>
      <c r="CI42" s="10">
        <f t="shared" si="19"/>
        <v>16.239556162555566</v>
      </c>
      <c r="CJ42" s="10">
        <f t="shared" si="19"/>
        <v>16.099615433455057</v>
      </c>
      <c r="CK42" s="10">
        <f t="shared" si="19"/>
        <v>18.789757630459405</v>
      </c>
      <c r="CL42" s="10">
        <f t="shared" si="19"/>
        <v>14.039468975537551</v>
      </c>
      <c r="CM42" s="10">
        <f t="shared" si="19"/>
        <v>15.06631777514095</v>
      </c>
      <c r="CN42" s="10">
        <f t="shared" si="19"/>
        <v>14.082417417047274</v>
      </c>
      <c r="CO42" s="10"/>
    </row>
    <row r="43" spans="1:93" s="12" customFormat="1" x14ac:dyDescent="0.2">
      <c r="A43" s="9" t="s">
        <v>9</v>
      </c>
      <c r="B43" s="10">
        <f>(B11/B31)*100</f>
        <v>27.384089771589178</v>
      </c>
      <c r="C43" s="10">
        <f t="shared" ref="C43:BN43" si="20">(C11/C31)*100</f>
        <v>26.11078723721106</v>
      </c>
      <c r="D43" s="10">
        <f t="shared" si="20"/>
        <v>25.466954040428806</v>
      </c>
      <c r="E43" s="10">
        <f t="shared" si="20"/>
        <v>27.781050327221045</v>
      </c>
      <c r="F43" s="10">
        <f t="shared" si="20"/>
        <v>23.097512354880539</v>
      </c>
      <c r="G43" s="10">
        <f t="shared" si="20"/>
        <v>22.218970723207278</v>
      </c>
      <c r="H43" s="10">
        <f t="shared" si="20"/>
        <v>25.143821531146148</v>
      </c>
      <c r="I43" s="10">
        <f t="shared" si="20"/>
        <v>47.527687966622103</v>
      </c>
      <c r="J43" s="10">
        <f t="shared" si="20"/>
        <v>28.872311795111116</v>
      </c>
      <c r="K43" s="10">
        <f t="shared" si="20"/>
        <v>25.504252553077254</v>
      </c>
      <c r="L43" s="10">
        <f t="shared" si="20"/>
        <v>19.918320975580475</v>
      </c>
      <c r="M43" s="10">
        <f t="shared" si="20"/>
        <v>19.733690087855031</v>
      </c>
      <c r="N43" s="10">
        <f t="shared" si="20"/>
        <v>19.956878155083377</v>
      </c>
      <c r="O43" s="10">
        <f t="shared" si="20"/>
        <v>22.840637746646554</v>
      </c>
      <c r="P43" s="10">
        <f t="shared" si="20"/>
        <v>16.987316377108279</v>
      </c>
      <c r="Q43" s="10">
        <f t="shared" si="20"/>
        <v>8.4172701075020555</v>
      </c>
      <c r="R43" s="10">
        <f t="shared" si="20"/>
        <v>14.590895710407493</v>
      </c>
      <c r="S43" s="10">
        <f t="shared" si="20"/>
        <v>15.305903772294515</v>
      </c>
      <c r="T43" s="10">
        <f t="shared" si="20"/>
        <v>12.745527593727513</v>
      </c>
      <c r="U43" s="10">
        <f t="shared" si="20"/>
        <v>17.41780176536626</v>
      </c>
      <c r="V43" s="10">
        <f t="shared" si="20"/>
        <v>14.919766765227813</v>
      </c>
      <c r="W43" s="10">
        <f t="shared" si="20"/>
        <v>24.76971114144866</v>
      </c>
      <c r="X43" s="10">
        <f t="shared" si="20"/>
        <v>21.47829328305048</v>
      </c>
      <c r="Y43" s="10">
        <f t="shared" si="20"/>
        <v>24.049604206046084</v>
      </c>
      <c r="Z43" s="10">
        <f t="shared" si="20"/>
        <v>23.325116791209922</v>
      </c>
      <c r="AA43" s="10">
        <f t="shared" si="20"/>
        <v>28.134983089240471</v>
      </c>
      <c r="AB43" s="10">
        <f t="shared" si="20"/>
        <v>31.327052805485728</v>
      </c>
      <c r="AC43" s="10">
        <f t="shared" si="20"/>
        <v>28.671767658921421</v>
      </c>
      <c r="AD43" s="10">
        <f t="shared" si="20"/>
        <v>27.468057816416874</v>
      </c>
      <c r="AE43" s="10">
        <f t="shared" si="20"/>
        <v>27.824995776510946</v>
      </c>
      <c r="AF43" s="10">
        <f t="shared" si="20"/>
        <v>27.98474719970158</v>
      </c>
      <c r="AG43" s="10">
        <f t="shared" si="20"/>
        <v>30.030728993393733</v>
      </c>
      <c r="AH43" s="10">
        <f t="shared" si="20"/>
        <v>29.622550032469448</v>
      </c>
      <c r="AI43" s="10">
        <f t="shared" si="20"/>
        <v>24.70658415347512</v>
      </c>
      <c r="AJ43" s="10">
        <f t="shared" si="20"/>
        <v>24.375168830261227</v>
      </c>
      <c r="AK43" s="10">
        <f t="shared" si="20"/>
        <v>26.524156869814536</v>
      </c>
      <c r="AL43" s="10">
        <f t="shared" si="20"/>
        <v>23.887048232348818</v>
      </c>
      <c r="AM43" s="10">
        <f t="shared" si="20"/>
        <v>23.022233725655123</v>
      </c>
      <c r="AN43" s="10">
        <f t="shared" si="20"/>
        <v>27.412363106875965</v>
      </c>
      <c r="AO43" s="10">
        <f t="shared" si="20"/>
        <v>23.839229341259987</v>
      </c>
      <c r="AP43" s="10">
        <f t="shared" si="20"/>
        <v>23.82054778150879</v>
      </c>
      <c r="AQ43" s="10">
        <f t="shared" si="20"/>
        <v>23.335034282530831</v>
      </c>
      <c r="AR43" s="10">
        <f t="shared" si="20"/>
        <v>25.719729243297124</v>
      </c>
      <c r="AS43" s="10">
        <f t="shared" si="20"/>
        <v>32.31536827391345</v>
      </c>
      <c r="AT43" s="10">
        <f t="shared" si="20"/>
        <v>22.760713344958731</v>
      </c>
      <c r="AU43" s="10">
        <f t="shared" si="20"/>
        <v>21.555554259428838</v>
      </c>
      <c r="AV43" s="10">
        <f t="shared" si="20"/>
        <v>24.496087340554389</v>
      </c>
      <c r="AW43" s="10">
        <f t="shared" si="20"/>
        <v>22.24018085868212</v>
      </c>
      <c r="AX43" s="10">
        <f t="shared" si="20"/>
        <v>29.78987455308862</v>
      </c>
      <c r="AY43" s="10">
        <f t="shared" si="20"/>
        <v>27.468202494236611</v>
      </c>
      <c r="AZ43" s="10">
        <f t="shared" si="20"/>
        <v>23.863703563402968</v>
      </c>
      <c r="BA43" s="10">
        <f t="shared" si="20"/>
        <v>24.618503278120368</v>
      </c>
      <c r="BB43" s="10">
        <f t="shared" si="20"/>
        <v>27.307801581505085</v>
      </c>
      <c r="BC43" s="10">
        <f t="shared" si="20"/>
        <v>23.658556987947261</v>
      </c>
      <c r="BD43" s="10">
        <f t="shared" si="20"/>
        <v>23.658108003602475</v>
      </c>
      <c r="BE43" s="10">
        <f t="shared" si="20"/>
        <v>29.629855100310955</v>
      </c>
      <c r="BF43" s="10">
        <f t="shared" si="20"/>
        <v>22.59719564747509</v>
      </c>
      <c r="BG43" s="10">
        <f t="shared" si="20"/>
        <v>24.853982917733759</v>
      </c>
      <c r="BH43" s="10">
        <f t="shared" si="20"/>
        <v>21.798473031212229</v>
      </c>
      <c r="BI43" s="10">
        <f t="shared" si="20"/>
        <v>17.419015699174249</v>
      </c>
      <c r="BJ43" s="10">
        <f t="shared" si="20"/>
        <v>23.894406598903249</v>
      </c>
      <c r="BK43" s="10">
        <f t="shared" si="20"/>
        <v>17.865087942837775</v>
      </c>
      <c r="BL43" s="10">
        <f t="shared" si="20"/>
        <v>16.451336974201062</v>
      </c>
      <c r="BM43" s="10">
        <f t="shared" si="20"/>
        <v>16.78082762848123</v>
      </c>
      <c r="BN43" s="10">
        <f t="shared" si="20"/>
        <v>18.645063594917541</v>
      </c>
      <c r="BO43" s="10">
        <f t="shared" ref="BO43:CN43" si="21">(BO11/BO31)*100</f>
        <v>22.846279473046213</v>
      </c>
      <c r="BP43" s="10">
        <f t="shared" si="21"/>
        <v>29.432731475727152</v>
      </c>
      <c r="BQ43" s="10">
        <f t="shared" si="21"/>
        <v>24.227845470663713</v>
      </c>
      <c r="BR43" s="10">
        <f t="shared" si="21"/>
        <v>28.083142975440271</v>
      </c>
      <c r="BS43" s="10">
        <f t="shared" si="21"/>
        <v>26.261693312216806</v>
      </c>
      <c r="BT43" s="10">
        <f t="shared" si="21"/>
        <v>26.731610784021857</v>
      </c>
      <c r="BU43" s="10">
        <f t="shared" si="21"/>
        <v>26.697254116271658</v>
      </c>
      <c r="BV43" s="10">
        <f t="shared" si="21"/>
        <v>34.13655477302455</v>
      </c>
      <c r="BW43" s="10">
        <f t="shared" si="21"/>
        <v>28.068995393476513</v>
      </c>
      <c r="BX43" s="10">
        <f t="shared" si="21"/>
        <v>24.644226763221376</v>
      </c>
      <c r="BY43" s="10">
        <f t="shared" si="21"/>
        <v>33.092451194893854</v>
      </c>
      <c r="BZ43" s="10">
        <f t="shared" si="21"/>
        <v>29.403545161022727</v>
      </c>
      <c r="CA43" s="10">
        <f t="shared" si="21"/>
        <v>32.096829869107999</v>
      </c>
      <c r="CB43" s="10">
        <f t="shared" si="21"/>
        <v>34.233556594196372</v>
      </c>
      <c r="CC43" s="10">
        <f t="shared" si="21"/>
        <v>31.606923458064166</v>
      </c>
      <c r="CD43" s="10">
        <f t="shared" si="21"/>
        <v>31.034695982633252</v>
      </c>
      <c r="CE43" s="10">
        <f t="shared" si="21"/>
        <v>31.248276695928883</v>
      </c>
      <c r="CF43" s="10">
        <f t="shared" si="21"/>
        <v>28.691542318737497</v>
      </c>
      <c r="CG43" s="10">
        <f t="shared" si="21"/>
        <v>25.607577589657687</v>
      </c>
      <c r="CH43" s="10">
        <f t="shared" si="21"/>
        <v>31.222678048520919</v>
      </c>
      <c r="CI43" s="10">
        <f t="shared" si="21"/>
        <v>31.602086969815229</v>
      </c>
      <c r="CJ43" s="10">
        <f t="shared" si="21"/>
        <v>25.20311402461563</v>
      </c>
      <c r="CK43" s="10">
        <f t="shared" si="21"/>
        <v>27.673147421233224</v>
      </c>
      <c r="CL43" s="10">
        <f t="shared" si="21"/>
        <v>25.379310886990936</v>
      </c>
      <c r="CM43" s="10">
        <f t="shared" si="21"/>
        <v>26.628138100366773</v>
      </c>
      <c r="CN43" s="10">
        <f t="shared" si="21"/>
        <v>26.381855942639561</v>
      </c>
      <c r="CO43" s="10"/>
    </row>
    <row r="44" spans="1:93" s="12" customFormat="1" x14ac:dyDescent="0.2">
      <c r="A44" s="9" t="s">
        <v>58</v>
      </c>
      <c r="B44" s="25" t="e">
        <f>(B12/B31)*100</f>
        <v>#VALUE!</v>
      </c>
      <c r="C44" s="25" t="e">
        <f t="shared" ref="C44:BN44" si="22">(C12/C31)*100</f>
        <v>#VALUE!</v>
      </c>
      <c r="D44" s="25" t="e">
        <f t="shared" si="22"/>
        <v>#VALUE!</v>
      </c>
      <c r="E44" s="25" t="e">
        <f t="shared" si="22"/>
        <v>#VALUE!</v>
      </c>
      <c r="F44" s="25" t="e">
        <f t="shared" si="22"/>
        <v>#VALUE!</v>
      </c>
      <c r="G44" s="25" t="e">
        <f t="shared" si="22"/>
        <v>#VALUE!</v>
      </c>
      <c r="H44" s="25" t="e">
        <f t="shared" si="22"/>
        <v>#VALUE!</v>
      </c>
      <c r="I44" s="25" t="e">
        <f t="shared" si="22"/>
        <v>#VALUE!</v>
      </c>
      <c r="J44" s="25" t="e">
        <f t="shared" si="22"/>
        <v>#VALUE!</v>
      </c>
      <c r="K44" s="25" t="e">
        <f t="shared" si="22"/>
        <v>#VALUE!</v>
      </c>
      <c r="L44" s="25" t="e">
        <f t="shared" si="22"/>
        <v>#VALUE!</v>
      </c>
      <c r="M44" s="25" t="e">
        <f t="shared" si="22"/>
        <v>#VALUE!</v>
      </c>
      <c r="N44" s="25" t="e">
        <f t="shared" si="22"/>
        <v>#VALUE!</v>
      </c>
      <c r="O44" s="25" t="e">
        <f t="shared" si="22"/>
        <v>#VALUE!</v>
      </c>
      <c r="P44" s="25" t="e">
        <f t="shared" si="22"/>
        <v>#VALUE!</v>
      </c>
      <c r="Q44" s="25" t="e">
        <f t="shared" si="22"/>
        <v>#VALUE!</v>
      </c>
      <c r="R44" s="25" t="e">
        <f t="shared" si="22"/>
        <v>#VALUE!</v>
      </c>
      <c r="S44" s="25" t="e">
        <f t="shared" si="22"/>
        <v>#VALUE!</v>
      </c>
      <c r="T44" s="25" t="e">
        <f t="shared" si="22"/>
        <v>#VALUE!</v>
      </c>
      <c r="U44" s="25" t="e">
        <f t="shared" si="22"/>
        <v>#VALUE!</v>
      </c>
      <c r="V44" s="25" t="e">
        <f t="shared" si="22"/>
        <v>#VALUE!</v>
      </c>
      <c r="W44" s="25" t="e">
        <f t="shared" si="22"/>
        <v>#VALUE!</v>
      </c>
      <c r="X44" s="25" t="e">
        <f t="shared" si="22"/>
        <v>#VALUE!</v>
      </c>
      <c r="Y44" s="25" t="e">
        <f t="shared" si="22"/>
        <v>#VALUE!</v>
      </c>
      <c r="Z44" s="25" t="e">
        <f t="shared" si="22"/>
        <v>#VALUE!</v>
      </c>
      <c r="AA44" s="25" t="e">
        <f t="shared" si="22"/>
        <v>#VALUE!</v>
      </c>
      <c r="AB44" s="25" t="e">
        <f t="shared" si="22"/>
        <v>#VALUE!</v>
      </c>
      <c r="AC44" s="25" t="e">
        <f t="shared" si="22"/>
        <v>#VALUE!</v>
      </c>
      <c r="AD44" s="25" t="e">
        <f t="shared" si="22"/>
        <v>#VALUE!</v>
      </c>
      <c r="AE44" s="25" t="e">
        <f t="shared" si="22"/>
        <v>#VALUE!</v>
      </c>
      <c r="AF44" s="25" t="e">
        <f t="shared" si="22"/>
        <v>#VALUE!</v>
      </c>
      <c r="AG44" s="25" t="e">
        <f t="shared" si="22"/>
        <v>#VALUE!</v>
      </c>
      <c r="AH44" s="25" t="e">
        <f t="shared" si="22"/>
        <v>#VALUE!</v>
      </c>
      <c r="AI44" s="25" t="e">
        <f t="shared" si="22"/>
        <v>#VALUE!</v>
      </c>
      <c r="AJ44" s="25" t="e">
        <f t="shared" si="22"/>
        <v>#VALUE!</v>
      </c>
      <c r="AK44" s="25" t="e">
        <f t="shared" si="22"/>
        <v>#VALUE!</v>
      </c>
      <c r="AL44" s="25" t="e">
        <f t="shared" si="22"/>
        <v>#VALUE!</v>
      </c>
      <c r="AM44" s="25" t="e">
        <f t="shared" si="22"/>
        <v>#VALUE!</v>
      </c>
      <c r="AN44" s="25" t="e">
        <f t="shared" si="22"/>
        <v>#VALUE!</v>
      </c>
      <c r="AO44" s="25" t="e">
        <f t="shared" si="22"/>
        <v>#VALUE!</v>
      </c>
      <c r="AP44" s="25" t="e">
        <f t="shared" si="22"/>
        <v>#VALUE!</v>
      </c>
      <c r="AQ44" s="25" t="e">
        <f t="shared" si="22"/>
        <v>#VALUE!</v>
      </c>
      <c r="AR44" s="25" t="e">
        <f t="shared" si="22"/>
        <v>#VALUE!</v>
      </c>
      <c r="AS44" s="25" t="e">
        <f t="shared" si="22"/>
        <v>#VALUE!</v>
      </c>
      <c r="AT44" s="25" t="e">
        <f t="shared" si="22"/>
        <v>#VALUE!</v>
      </c>
      <c r="AU44" s="25" t="e">
        <f t="shared" si="22"/>
        <v>#VALUE!</v>
      </c>
      <c r="AV44" s="25" t="e">
        <f t="shared" si="22"/>
        <v>#VALUE!</v>
      </c>
      <c r="AW44" s="25" t="e">
        <f t="shared" si="22"/>
        <v>#VALUE!</v>
      </c>
      <c r="AX44" s="25" t="e">
        <f t="shared" si="22"/>
        <v>#VALUE!</v>
      </c>
      <c r="AY44" s="25" t="e">
        <f t="shared" si="22"/>
        <v>#VALUE!</v>
      </c>
      <c r="AZ44" s="25" t="e">
        <f t="shared" si="22"/>
        <v>#VALUE!</v>
      </c>
      <c r="BA44" s="25" t="e">
        <f t="shared" si="22"/>
        <v>#VALUE!</v>
      </c>
      <c r="BB44" s="25" t="e">
        <f t="shared" si="22"/>
        <v>#VALUE!</v>
      </c>
      <c r="BC44" s="25" t="e">
        <f t="shared" si="22"/>
        <v>#VALUE!</v>
      </c>
      <c r="BD44" s="25" t="e">
        <f t="shared" si="22"/>
        <v>#VALUE!</v>
      </c>
      <c r="BE44" s="25" t="e">
        <f t="shared" si="22"/>
        <v>#VALUE!</v>
      </c>
      <c r="BF44" s="25" t="e">
        <f t="shared" si="22"/>
        <v>#VALUE!</v>
      </c>
      <c r="BG44" s="25" t="e">
        <f t="shared" si="22"/>
        <v>#VALUE!</v>
      </c>
      <c r="BH44" s="25" t="e">
        <f t="shared" si="22"/>
        <v>#VALUE!</v>
      </c>
      <c r="BI44" s="25" t="e">
        <f t="shared" si="22"/>
        <v>#VALUE!</v>
      </c>
      <c r="BJ44" s="25">
        <f t="shared" si="22"/>
        <v>23.997001769363528</v>
      </c>
      <c r="BK44" s="25">
        <f t="shared" si="22"/>
        <v>19.510175865989641</v>
      </c>
      <c r="BL44" s="25">
        <f t="shared" si="22"/>
        <v>17.636249214569339</v>
      </c>
      <c r="BM44" s="25">
        <f t="shared" si="22"/>
        <v>16.860227793184933</v>
      </c>
      <c r="BN44" s="25">
        <f t="shared" si="22"/>
        <v>26.29314224610253</v>
      </c>
      <c r="BO44" s="25">
        <f t="shared" ref="BO44:CN44" si="23">(BO12/BO31)*100</f>
        <v>21.425245985631125</v>
      </c>
      <c r="BP44" s="25">
        <f t="shared" si="23"/>
        <v>28.469538486630213</v>
      </c>
      <c r="BQ44" s="25">
        <f t="shared" si="23"/>
        <v>29.52737840500475</v>
      </c>
      <c r="BR44" s="25">
        <f t="shared" si="23"/>
        <v>26.587771473957616</v>
      </c>
      <c r="BS44" s="25">
        <f t="shared" si="23"/>
        <v>25.976947118017229</v>
      </c>
      <c r="BT44" s="25">
        <f t="shared" si="23"/>
        <v>26.137792344197397</v>
      </c>
      <c r="BU44" s="25">
        <f t="shared" si="23"/>
        <v>25.362724586244589</v>
      </c>
      <c r="BV44" s="25">
        <f t="shared" si="23"/>
        <v>32.439838123263975</v>
      </c>
      <c r="BW44" s="25">
        <f t="shared" si="23"/>
        <v>27.142452342965619</v>
      </c>
      <c r="BX44" s="25">
        <f t="shared" si="23"/>
        <v>29.033699229592152</v>
      </c>
      <c r="BY44" s="25">
        <f t="shared" si="23"/>
        <v>30.245748512062249</v>
      </c>
      <c r="BZ44" s="25">
        <f t="shared" si="23"/>
        <v>34.352462735299703</v>
      </c>
      <c r="CA44" s="25">
        <f t="shared" si="23"/>
        <v>30.053556258575888</v>
      </c>
      <c r="CB44" s="25">
        <f t="shared" si="23"/>
        <v>32.887898932654167</v>
      </c>
      <c r="CC44" s="25">
        <f t="shared" si="23"/>
        <v>33.117128364512801</v>
      </c>
      <c r="CD44" s="25">
        <f t="shared" si="23"/>
        <v>38.439208984647451</v>
      </c>
      <c r="CE44" s="25">
        <f t="shared" si="23"/>
        <v>35.29385148889525</v>
      </c>
      <c r="CF44" s="25">
        <f t="shared" si="23"/>
        <v>27.332288934593286</v>
      </c>
      <c r="CG44" s="25">
        <f t="shared" si="23"/>
        <v>35.781094417293154</v>
      </c>
      <c r="CH44" s="25">
        <f t="shared" si="23"/>
        <v>34.389371064960542</v>
      </c>
      <c r="CI44" s="25">
        <f t="shared" si="23"/>
        <v>11.481027040935775</v>
      </c>
      <c r="CJ44" s="25">
        <f t="shared" si="23"/>
        <v>43.986021530639249</v>
      </c>
      <c r="CK44" s="25">
        <f t="shared" si="23"/>
        <v>33.685187261820957</v>
      </c>
      <c r="CL44" s="25">
        <f t="shared" si="23"/>
        <v>36.725859178878366</v>
      </c>
      <c r="CM44" s="25">
        <f t="shared" si="23"/>
        <v>30.478374981629042</v>
      </c>
      <c r="CN44" s="25">
        <f t="shared" si="23"/>
        <v>40.265058322171129</v>
      </c>
      <c r="CO44" s="25"/>
    </row>
    <row r="45" spans="1:93" s="12" customFormat="1" x14ac:dyDescent="0.2">
      <c r="A45" s="9" t="s">
        <v>10</v>
      </c>
      <c r="B45" s="10">
        <f>(B13/B31)*100</f>
        <v>11.305524225766455</v>
      </c>
      <c r="C45" s="10">
        <f t="shared" ref="C45:BN45" si="24">(C13/C31)*100</f>
        <v>12.229596818502252</v>
      </c>
      <c r="D45" s="10">
        <f t="shared" si="24"/>
        <v>12.79856978467846</v>
      </c>
      <c r="E45" s="10">
        <f t="shared" si="24"/>
        <v>11.044927264133539</v>
      </c>
      <c r="F45" s="10">
        <f t="shared" si="24"/>
        <v>10.969173695205747</v>
      </c>
      <c r="G45" s="10">
        <f t="shared" si="24"/>
        <v>10.655271321335302</v>
      </c>
      <c r="H45" s="10">
        <f t="shared" si="24"/>
        <v>11.103864859822815</v>
      </c>
      <c r="I45" s="10">
        <f t="shared" si="24"/>
        <v>13.012464027658543</v>
      </c>
      <c r="J45" s="10">
        <f t="shared" si="24"/>
        <v>8.7780100248235975</v>
      </c>
      <c r="K45" s="10">
        <f t="shared" si="24"/>
        <v>9.2528507426179871</v>
      </c>
      <c r="L45" s="10">
        <f t="shared" si="24"/>
        <v>9.0455650624890644</v>
      </c>
      <c r="M45" s="10">
        <f t="shared" si="24"/>
        <v>9.3629072177169501</v>
      </c>
      <c r="N45" s="10">
        <f t="shared" si="24"/>
        <v>8.5475078485691078</v>
      </c>
      <c r="O45" s="10">
        <f t="shared" si="24"/>
        <v>10.60015365649077</v>
      </c>
      <c r="P45" s="10">
        <f t="shared" si="24"/>
        <v>9.8071085561681102</v>
      </c>
      <c r="Q45" s="10">
        <f t="shared" si="24"/>
        <v>6.8753534115191872</v>
      </c>
      <c r="R45" s="10">
        <f t="shared" si="24"/>
        <v>6.0609106417193299</v>
      </c>
      <c r="S45" s="10">
        <f t="shared" si="24"/>
        <v>7.8704104961335366</v>
      </c>
      <c r="T45" s="10">
        <f t="shared" si="24"/>
        <v>10.423296314397197</v>
      </c>
      <c r="U45" s="10">
        <f t="shared" si="24"/>
        <v>9.1945890058600295</v>
      </c>
      <c r="V45" s="10">
        <f t="shared" si="24"/>
        <v>8.714457613177748</v>
      </c>
      <c r="W45" s="10">
        <f t="shared" si="24"/>
        <v>8.4364967093647554</v>
      </c>
      <c r="X45" s="10">
        <f t="shared" si="24"/>
        <v>10.047223850611193</v>
      </c>
      <c r="Y45" s="10">
        <f t="shared" si="24"/>
        <v>10.133287017865017</v>
      </c>
      <c r="Z45" s="10">
        <f t="shared" si="24"/>
        <v>10.511828854334082</v>
      </c>
      <c r="AA45" s="10">
        <f t="shared" si="24"/>
        <v>11.076029132435352</v>
      </c>
      <c r="AB45" s="10">
        <f t="shared" si="24"/>
        <v>10.249915017401005</v>
      </c>
      <c r="AC45" s="10">
        <f t="shared" si="24"/>
        <v>13.082764411265682</v>
      </c>
      <c r="AD45" s="10">
        <f t="shared" si="24"/>
        <v>10.879813097231853</v>
      </c>
      <c r="AE45" s="10">
        <f t="shared" si="24"/>
        <v>10.954016255831982</v>
      </c>
      <c r="AF45" s="10">
        <f t="shared" si="24"/>
        <v>10.295671315745251</v>
      </c>
      <c r="AG45" s="10">
        <f t="shared" si="24"/>
        <v>12.632054171070125</v>
      </c>
      <c r="AH45" s="10">
        <f t="shared" si="24"/>
        <v>11.609995979162029</v>
      </c>
      <c r="AI45" s="10">
        <f t="shared" si="24"/>
        <v>11.438050742834417</v>
      </c>
      <c r="AJ45" s="10">
        <f t="shared" si="24"/>
        <v>12.891490184668571</v>
      </c>
      <c r="AK45" s="10">
        <f t="shared" si="24"/>
        <v>12.069446902134491</v>
      </c>
      <c r="AL45" s="10">
        <f t="shared" si="24"/>
        <v>11.573649398866207</v>
      </c>
      <c r="AM45" s="10">
        <f t="shared" si="24"/>
        <v>10.912804940561301</v>
      </c>
      <c r="AN45" s="10">
        <f t="shared" si="24"/>
        <v>13.293553990893662</v>
      </c>
      <c r="AO45" s="10">
        <f t="shared" si="24"/>
        <v>13.39955503104235</v>
      </c>
      <c r="AP45" s="10">
        <f t="shared" si="24"/>
        <v>11.144936021785918</v>
      </c>
      <c r="AQ45" s="10">
        <f t="shared" si="24"/>
        <v>12.437934489812339</v>
      </c>
      <c r="AR45" s="10">
        <f t="shared" si="24"/>
        <v>10.803036742701298</v>
      </c>
      <c r="AS45" s="10">
        <f t="shared" si="24"/>
        <v>12.304350310097902</v>
      </c>
      <c r="AT45" s="10">
        <f t="shared" si="24"/>
        <v>11.475230873819248</v>
      </c>
      <c r="AU45" s="10">
        <f t="shared" si="24"/>
        <v>11.076234749286968</v>
      </c>
      <c r="AV45" s="10">
        <f t="shared" si="24"/>
        <v>10.870728356818308</v>
      </c>
      <c r="AW45" s="10">
        <f t="shared" si="24"/>
        <v>10.284338036511064</v>
      </c>
      <c r="AX45" s="10">
        <f t="shared" si="24"/>
        <v>9.196930706188553</v>
      </c>
      <c r="AY45" s="10">
        <f t="shared" si="24"/>
        <v>10.436291896580448</v>
      </c>
      <c r="AZ45" s="10">
        <f t="shared" si="24"/>
        <v>11.631490066213178</v>
      </c>
      <c r="BA45" s="10">
        <f t="shared" si="24"/>
        <v>11.235297824019495</v>
      </c>
      <c r="BB45" s="10">
        <f t="shared" si="24"/>
        <v>10.156085384789627</v>
      </c>
      <c r="BC45" s="10">
        <f t="shared" si="24"/>
        <v>10.278183009999641</v>
      </c>
      <c r="BD45" s="10">
        <f t="shared" si="24"/>
        <v>9.939767827533581</v>
      </c>
      <c r="BE45" s="10">
        <f t="shared" si="24"/>
        <v>12.440649418338907</v>
      </c>
      <c r="BF45" s="10">
        <f t="shared" si="24"/>
        <v>11.77923884655296</v>
      </c>
      <c r="BG45" s="10">
        <f t="shared" si="24"/>
        <v>10.306914813003225</v>
      </c>
      <c r="BH45" s="10">
        <f t="shared" si="24"/>
        <v>8.9005834127704819</v>
      </c>
      <c r="BI45" s="10">
        <f t="shared" si="24"/>
        <v>7.9466242331792749</v>
      </c>
      <c r="BJ45" s="10">
        <f t="shared" si="24"/>
        <v>5.5961271027764568</v>
      </c>
      <c r="BK45" s="10">
        <f t="shared" si="24"/>
        <v>6.4151248847830677</v>
      </c>
      <c r="BL45" s="10">
        <f t="shared" si="24"/>
        <v>5.8330417191383797</v>
      </c>
      <c r="BM45" s="10">
        <f t="shared" si="24"/>
        <v>7.0149241066441475</v>
      </c>
      <c r="BN45" s="10">
        <f t="shared" si="24"/>
        <v>7.7044335273139604</v>
      </c>
      <c r="BO45" s="10">
        <f t="shared" ref="BO45:CN45" si="25">(BO13/BO31)*100</f>
        <v>8.9237450713504209</v>
      </c>
      <c r="BP45" s="10">
        <f t="shared" si="25"/>
        <v>15.151405553320215</v>
      </c>
      <c r="BQ45" s="10">
        <f t="shared" si="25"/>
        <v>18.047027781395155</v>
      </c>
      <c r="BR45" s="10">
        <f t="shared" si="25"/>
        <v>16.663744251125639</v>
      </c>
      <c r="BS45" s="10">
        <f t="shared" si="25"/>
        <v>24.004565034465212</v>
      </c>
      <c r="BT45" s="10">
        <f t="shared" si="25"/>
        <v>20.192045878708839</v>
      </c>
      <c r="BU45" s="10">
        <f t="shared" si="25"/>
        <v>18.072013044697449</v>
      </c>
      <c r="BV45" s="10">
        <f t="shared" si="25"/>
        <v>17.4449021604525</v>
      </c>
      <c r="BW45" s="10">
        <f t="shared" si="25"/>
        <v>19.656439617162452</v>
      </c>
      <c r="BX45" s="10">
        <f t="shared" si="25"/>
        <v>19.998167304652846</v>
      </c>
      <c r="BY45" s="10">
        <f t="shared" si="25"/>
        <v>20.345737084216683</v>
      </c>
      <c r="BZ45" s="10">
        <f t="shared" si="25"/>
        <v>21.286894444195113</v>
      </c>
      <c r="CA45" s="10">
        <f t="shared" si="25"/>
        <v>18.762483847309579</v>
      </c>
      <c r="CB45" s="10">
        <f t="shared" si="25"/>
        <v>19.489422037056183</v>
      </c>
      <c r="CC45" s="10">
        <f t="shared" si="25"/>
        <v>21.87538200655414</v>
      </c>
      <c r="CD45" s="10">
        <f t="shared" si="25"/>
        <v>19.994968673261759</v>
      </c>
      <c r="CE45" s="10">
        <f t="shared" si="25"/>
        <v>20.123893087575816</v>
      </c>
      <c r="CF45" s="10">
        <f t="shared" si="25"/>
        <v>17.374672389067928</v>
      </c>
      <c r="CG45" s="10">
        <f t="shared" si="25"/>
        <v>15.517974660351122</v>
      </c>
      <c r="CH45" s="10">
        <f t="shared" si="25"/>
        <v>17.014246496377915</v>
      </c>
      <c r="CI45" s="10">
        <f t="shared" si="25"/>
        <v>16.119259344621987</v>
      </c>
      <c r="CJ45" s="10">
        <f t="shared" si="25"/>
        <v>16.510244949183633</v>
      </c>
      <c r="CK45" s="10">
        <f t="shared" si="25"/>
        <v>16.230821766057588</v>
      </c>
      <c r="CL45" s="10">
        <f t="shared" si="25"/>
        <v>18.30220225777299</v>
      </c>
      <c r="CM45" s="10">
        <f t="shared" si="25"/>
        <v>19.719017230359409</v>
      </c>
      <c r="CN45" s="10">
        <f t="shared" si="25"/>
        <v>15.846366197468372</v>
      </c>
      <c r="CO45" s="10"/>
    </row>
    <row r="46" spans="1:93" s="12" customFormat="1" x14ac:dyDescent="0.2">
      <c r="A46" s="9" t="s">
        <v>11</v>
      </c>
      <c r="B46" s="10">
        <f>(B14/B31)*100</f>
        <v>143.44289043674362</v>
      </c>
      <c r="C46" s="10">
        <f t="shared" ref="C46:BN46" si="26">(C14/C31)*100</f>
        <v>142.84994620078973</v>
      </c>
      <c r="D46" s="10">
        <f t="shared" si="26"/>
        <v>162.70516966882909</v>
      </c>
      <c r="E46" s="10">
        <f t="shared" si="26"/>
        <v>129.25396089306022</v>
      </c>
      <c r="F46" s="10">
        <f t="shared" si="26"/>
        <v>148.6319290829174</v>
      </c>
      <c r="G46" s="10">
        <f t="shared" si="26"/>
        <v>133.95699419607425</v>
      </c>
      <c r="H46" s="10">
        <f t="shared" si="26"/>
        <v>130.10112714430744</v>
      </c>
      <c r="I46" s="10">
        <f t="shared" si="26"/>
        <v>157.33055615491489</v>
      </c>
      <c r="J46" s="10">
        <f t="shared" si="26"/>
        <v>156.59218785843061</v>
      </c>
      <c r="K46" s="10">
        <f t="shared" si="26"/>
        <v>129.75156611251896</v>
      </c>
      <c r="L46" s="10">
        <f t="shared" si="26"/>
        <v>121.1192537181232</v>
      </c>
      <c r="M46" s="10">
        <f t="shared" si="26"/>
        <v>123.97980025698179</v>
      </c>
      <c r="N46" s="10">
        <f t="shared" si="26"/>
        <v>113.82216500091951</v>
      </c>
      <c r="O46" s="10">
        <f t="shared" si="26"/>
        <v>120.46939891634479</v>
      </c>
      <c r="P46" s="10">
        <f t="shared" si="26"/>
        <v>112.0982502131392</v>
      </c>
      <c r="Q46" s="10">
        <f t="shared" si="26"/>
        <v>44.36889531068671</v>
      </c>
      <c r="R46" s="10">
        <f t="shared" si="26"/>
        <v>75.410800971837233</v>
      </c>
      <c r="S46" s="10">
        <f t="shared" si="26"/>
        <v>110.69677905469328</v>
      </c>
      <c r="T46" s="10">
        <f t="shared" si="26"/>
        <v>116.54463813987388</v>
      </c>
      <c r="U46" s="10">
        <f t="shared" si="26"/>
        <v>158.20002361574922</v>
      </c>
      <c r="V46" s="10">
        <f t="shared" si="26"/>
        <v>118.660743573595</v>
      </c>
      <c r="W46" s="10">
        <f t="shared" si="26"/>
        <v>129.58324542550264</v>
      </c>
      <c r="X46" s="10">
        <f t="shared" si="26"/>
        <v>135.87780614094456</v>
      </c>
      <c r="Y46" s="10">
        <f t="shared" si="26"/>
        <v>127.47312783732667</v>
      </c>
      <c r="Z46" s="10">
        <f t="shared" si="26"/>
        <v>146.95633078468603</v>
      </c>
      <c r="AA46" s="10">
        <f t="shared" si="26"/>
        <v>144.68483490217247</v>
      </c>
      <c r="AB46" s="10">
        <f t="shared" si="26"/>
        <v>152.68746818113928</v>
      </c>
      <c r="AC46" s="10">
        <f t="shared" si="26"/>
        <v>134.10549932403879</v>
      </c>
      <c r="AD46" s="10">
        <f t="shared" si="26"/>
        <v>129.91605397621205</v>
      </c>
      <c r="AE46" s="10">
        <f t="shared" si="26"/>
        <v>119.11758296907247</v>
      </c>
      <c r="AF46" s="10">
        <f t="shared" si="26"/>
        <v>154.90196300452098</v>
      </c>
      <c r="AG46" s="10">
        <f t="shared" si="26"/>
        <v>135.74459839081243</v>
      </c>
      <c r="AH46" s="10">
        <f t="shared" si="26"/>
        <v>142.17416264393654</v>
      </c>
      <c r="AI46" s="10">
        <f t="shared" si="26"/>
        <v>140.89932317053334</v>
      </c>
      <c r="AJ46" s="10">
        <f t="shared" si="26"/>
        <v>142.77078234552476</v>
      </c>
      <c r="AK46" s="10">
        <f t="shared" si="26"/>
        <v>170.67071400059234</v>
      </c>
      <c r="AL46" s="10">
        <f t="shared" si="26"/>
        <v>158.77405216949791</v>
      </c>
      <c r="AM46" s="10">
        <f t="shared" si="26"/>
        <v>134.48660373667917</v>
      </c>
      <c r="AN46" s="10">
        <f t="shared" si="26"/>
        <v>119.85900825463432</v>
      </c>
      <c r="AO46" s="10">
        <f t="shared" si="26"/>
        <v>132.82794200462271</v>
      </c>
      <c r="AP46" s="10">
        <f t="shared" si="26"/>
        <v>143.86976725659133</v>
      </c>
      <c r="AQ46" s="10">
        <f t="shared" si="26"/>
        <v>136.36539147807935</v>
      </c>
      <c r="AR46" s="10">
        <f t="shared" si="26"/>
        <v>133.63529370328061</v>
      </c>
      <c r="AS46" s="10">
        <f t="shared" si="26"/>
        <v>130.50595830503519</v>
      </c>
      <c r="AT46" s="10">
        <f t="shared" si="26"/>
        <v>145.31693506801767</v>
      </c>
      <c r="AU46" s="10">
        <f t="shared" si="26"/>
        <v>117.77637692401912</v>
      </c>
      <c r="AV46" s="10">
        <f t="shared" si="26"/>
        <v>118.16465181792246</v>
      </c>
      <c r="AW46" s="10">
        <f t="shared" si="26"/>
        <v>125.12549803342623</v>
      </c>
      <c r="AX46" s="10">
        <f t="shared" si="26"/>
        <v>144.53106828963763</v>
      </c>
      <c r="AY46" s="10">
        <f t="shared" si="26"/>
        <v>101.35972333867436</v>
      </c>
      <c r="AZ46" s="10">
        <f t="shared" si="26"/>
        <v>107.02971147226161</v>
      </c>
      <c r="BA46" s="10">
        <f t="shared" si="26"/>
        <v>118.19193847081517</v>
      </c>
      <c r="BB46" s="10">
        <f t="shared" si="26"/>
        <v>123.29602888466987</v>
      </c>
      <c r="BC46" s="10">
        <f t="shared" si="26"/>
        <v>121.33979281257761</v>
      </c>
      <c r="BD46" s="10">
        <f t="shared" si="26"/>
        <v>111.40282054105538</v>
      </c>
      <c r="BE46" s="10">
        <f t="shared" si="26"/>
        <v>132.71862602011305</v>
      </c>
      <c r="BF46" s="10">
        <f t="shared" si="26"/>
        <v>107.06055075477101</v>
      </c>
      <c r="BG46" s="10">
        <f t="shared" si="26"/>
        <v>107.26978110967831</v>
      </c>
      <c r="BH46" s="10">
        <f t="shared" si="26"/>
        <v>111.86706596173921</v>
      </c>
      <c r="BI46" s="10">
        <f t="shared" si="26"/>
        <v>97.746654257869125</v>
      </c>
      <c r="BJ46" s="10">
        <f t="shared" si="26"/>
        <v>91.675649961032804</v>
      </c>
      <c r="BK46" s="10">
        <f t="shared" si="26"/>
        <v>67.078192471816152</v>
      </c>
      <c r="BL46" s="10">
        <f t="shared" si="26"/>
        <v>73.682881474764045</v>
      </c>
      <c r="BM46" s="10">
        <f t="shared" si="26"/>
        <v>75.743916081759494</v>
      </c>
      <c r="BN46" s="10">
        <f t="shared" si="26"/>
        <v>95.876710017663811</v>
      </c>
      <c r="BO46" s="10">
        <f t="shared" ref="BO46:CN46" si="27">(BO14/BO31)*100</f>
        <v>125.46948654571928</v>
      </c>
      <c r="BP46" s="10">
        <f t="shared" si="27"/>
        <v>107.09684985106649</v>
      </c>
      <c r="BQ46" s="10">
        <f t="shared" si="27"/>
        <v>137.01428003772298</v>
      </c>
      <c r="BR46" s="10">
        <f t="shared" si="27"/>
        <v>119.62244574640337</v>
      </c>
      <c r="BS46" s="10">
        <f t="shared" si="27"/>
        <v>124.98954828019021</v>
      </c>
      <c r="BT46" s="10">
        <f t="shared" si="27"/>
        <v>148.91131379778767</v>
      </c>
      <c r="BU46" s="10">
        <f t="shared" si="27"/>
        <v>124.72675094221056</v>
      </c>
      <c r="BV46" s="10">
        <f t="shared" si="27"/>
        <v>125.63698993265075</v>
      </c>
      <c r="BW46" s="10">
        <f t="shared" si="27"/>
        <v>100.17470712471899</v>
      </c>
      <c r="BX46" s="10">
        <f t="shared" si="27"/>
        <v>105.58936446530609</v>
      </c>
      <c r="BY46" s="10">
        <f t="shared" si="27"/>
        <v>106.83386374812042</v>
      </c>
      <c r="BZ46" s="10">
        <f t="shared" si="27"/>
        <v>127.21325238980501</v>
      </c>
      <c r="CA46" s="10">
        <f t="shared" si="27"/>
        <v>108.77139126737674</v>
      </c>
      <c r="CB46" s="10">
        <f t="shared" si="27"/>
        <v>126.81681402415543</v>
      </c>
      <c r="CC46" s="10">
        <f t="shared" si="27"/>
        <v>122.6123012985155</v>
      </c>
      <c r="CD46" s="10">
        <f t="shared" si="27"/>
        <v>138.41739188155034</v>
      </c>
      <c r="CE46" s="10">
        <f t="shared" si="27"/>
        <v>126.88062198684378</v>
      </c>
      <c r="CF46" s="10">
        <f t="shared" si="27"/>
        <v>115.84208598201502</v>
      </c>
      <c r="CG46" s="10">
        <f t="shared" si="27"/>
        <v>111.88505622978073</v>
      </c>
      <c r="CH46" s="10">
        <f t="shared" si="27"/>
        <v>119.74146541714381</v>
      </c>
      <c r="CI46" s="10">
        <f t="shared" si="27"/>
        <v>91.557033536076446</v>
      </c>
      <c r="CJ46" s="10">
        <f t="shared" si="27"/>
        <v>92.859310052717234</v>
      </c>
      <c r="CK46" s="10">
        <f t="shared" si="27"/>
        <v>98.697056471538787</v>
      </c>
      <c r="CL46" s="10">
        <f t="shared" si="27"/>
        <v>100.71384660623683</v>
      </c>
      <c r="CM46" s="10">
        <f t="shared" si="27"/>
        <v>95.505436717344395</v>
      </c>
      <c r="CN46" s="10">
        <f t="shared" si="27"/>
        <v>101.48503161999432</v>
      </c>
      <c r="CO46" s="10"/>
    </row>
    <row r="47" spans="1:93" s="12" customFormat="1" x14ac:dyDescent="0.2">
      <c r="A47" s="9" t="s">
        <v>12</v>
      </c>
      <c r="B47" s="10">
        <f>(B15/B31)*100</f>
        <v>37.264782308537363</v>
      </c>
      <c r="C47" s="10">
        <f t="shared" ref="C47:BN47" si="28">(C15/C31)*100</f>
        <v>36.448404346427274</v>
      </c>
      <c r="D47" s="10">
        <f t="shared" si="28"/>
        <v>36.308551635267733</v>
      </c>
      <c r="E47" s="10">
        <f t="shared" si="28"/>
        <v>34.034867123801405</v>
      </c>
      <c r="F47" s="10">
        <f t="shared" si="28"/>
        <v>38.348133685477606</v>
      </c>
      <c r="G47" s="10">
        <f t="shared" si="28"/>
        <v>41.866836040206259</v>
      </c>
      <c r="H47" s="10">
        <f t="shared" si="28"/>
        <v>41.823614063706643</v>
      </c>
      <c r="I47" s="10">
        <f t="shared" si="28"/>
        <v>38.942019392532039</v>
      </c>
      <c r="J47" s="10">
        <f t="shared" si="28"/>
        <v>32.431140726703148</v>
      </c>
      <c r="K47" s="10">
        <f t="shared" si="28"/>
        <v>34.825517684278893</v>
      </c>
      <c r="L47" s="10">
        <f t="shared" si="28"/>
        <v>37.524455759879181</v>
      </c>
      <c r="M47" s="10">
        <f t="shared" si="28"/>
        <v>37.008300751964576</v>
      </c>
      <c r="N47" s="10">
        <f t="shared" si="28"/>
        <v>33.124357821605024</v>
      </c>
      <c r="O47" s="10">
        <f t="shared" si="28"/>
        <v>32.519432792407649</v>
      </c>
      <c r="P47" s="10">
        <f t="shared" si="28"/>
        <v>30.856633497135512</v>
      </c>
      <c r="Q47" s="10">
        <f t="shared" si="28"/>
        <v>12.306542660475172</v>
      </c>
      <c r="R47" s="10">
        <f t="shared" si="28"/>
        <v>21.868053835921327</v>
      </c>
      <c r="S47" s="10">
        <f t="shared" si="28"/>
        <v>36.452997725280753</v>
      </c>
      <c r="T47" s="10">
        <f t="shared" si="28"/>
        <v>35.373342977817892</v>
      </c>
      <c r="U47" s="10">
        <f t="shared" si="28"/>
        <v>46.118276628833996</v>
      </c>
      <c r="V47" s="10">
        <f t="shared" si="28"/>
        <v>45.273557600570307</v>
      </c>
      <c r="W47" s="10">
        <f t="shared" si="28"/>
        <v>53.696582532802097</v>
      </c>
      <c r="X47" s="10">
        <f t="shared" si="28"/>
        <v>43.797800448545914</v>
      </c>
      <c r="Y47" s="10">
        <f t="shared" si="28"/>
        <v>43.026892941013664</v>
      </c>
      <c r="Z47" s="10">
        <f t="shared" si="28"/>
        <v>40.269888253532756</v>
      </c>
      <c r="AA47" s="10">
        <f t="shared" si="28"/>
        <v>40.262315168945285</v>
      </c>
      <c r="AB47" s="10">
        <f t="shared" si="28"/>
        <v>42.705611386718431</v>
      </c>
      <c r="AC47" s="10">
        <f t="shared" si="28"/>
        <v>54.019582925438378</v>
      </c>
      <c r="AD47" s="10">
        <f t="shared" si="28"/>
        <v>45.268521903034824</v>
      </c>
      <c r="AE47" s="10">
        <f t="shared" si="28"/>
        <v>48.627416539824139</v>
      </c>
      <c r="AF47" s="10">
        <f t="shared" si="28"/>
        <v>49.487675135470134</v>
      </c>
      <c r="AG47" s="10">
        <f t="shared" si="28"/>
        <v>50.882150138069747</v>
      </c>
      <c r="AH47" s="10">
        <f t="shared" si="28"/>
        <v>50.8966141024884</v>
      </c>
      <c r="AI47" s="10">
        <f t="shared" si="28"/>
        <v>60.814493024971469</v>
      </c>
      <c r="AJ47" s="10">
        <f t="shared" si="28"/>
        <v>49.756047369813508</v>
      </c>
      <c r="AK47" s="10">
        <f t="shared" si="28"/>
        <v>46.160158815020836</v>
      </c>
      <c r="AL47" s="10">
        <f t="shared" si="28"/>
        <v>51.04815361079428</v>
      </c>
      <c r="AM47" s="10">
        <f t="shared" si="28"/>
        <v>49.298989432365573</v>
      </c>
      <c r="AN47" s="10">
        <f t="shared" si="28"/>
        <v>53.668012269978583</v>
      </c>
      <c r="AO47" s="10">
        <f t="shared" si="28"/>
        <v>44.06446182587969</v>
      </c>
      <c r="AP47" s="10">
        <f t="shared" si="28"/>
        <v>42.052019240599776</v>
      </c>
      <c r="AQ47" s="10">
        <f t="shared" si="28"/>
        <v>43.993552572810188</v>
      </c>
      <c r="AR47" s="10">
        <f t="shared" si="28"/>
        <v>50.491798553819663</v>
      </c>
      <c r="AS47" s="10">
        <f t="shared" si="28"/>
        <v>50.213800110763366</v>
      </c>
      <c r="AT47" s="10">
        <f t="shared" si="28"/>
        <v>57.518180102172259</v>
      </c>
      <c r="AU47" s="10">
        <f t="shared" si="28"/>
        <v>40.822821147149916</v>
      </c>
      <c r="AV47" s="10">
        <f t="shared" si="28"/>
        <v>40.76511449081687</v>
      </c>
      <c r="AW47" s="10">
        <f t="shared" si="28"/>
        <v>40.934385229874287</v>
      </c>
      <c r="AX47" s="10">
        <f t="shared" si="28"/>
        <v>46.035716334200345</v>
      </c>
      <c r="AY47" s="10">
        <f t="shared" si="28"/>
        <v>53.792399227541146</v>
      </c>
      <c r="AZ47" s="10">
        <f t="shared" si="28"/>
        <v>47.793155912916973</v>
      </c>
      <c r="BA47" s="10">
        <f t="shared" si="28"/>
        <v>50.654057831518749</v>
      </c>
      <c r="BB47" s="10">
        <f t="shared" si="28"/>
        <v>49.095510351300625</v>
      </c>
      <c r="BC47" s="10">
        <f t="shared" si="28"/>
        <v>44.659269079554036</v>
      </c>
      <c r="BD47" s="10">
        <f t="shared" si="28"/>
        <v>52.016304198959361</v>
      </c>
      <c r="BE47" s="10">
        <f t="shared" si="28"/>
        <v>53.148213515622487</v>
      </c>
      <c r="BF47" s="10">
        <f t="shared" si="28"/>
        <v>46.270502084190014</v>
      </c>
      <c r="BG47" s="10">
        <f t="shared" si="28"/>
        <v>41.201423081529938</v>
      </c>
      <c r="BH47" s="10">
        <f t="shared" si="28"/>
        <v>38.511215019778675</v>
      </c>
      <c r="BI47" s="10">
        <f t="shared" si="28"/>
        <v>27.496381317721692</v>
      </c>
      <c r="BJ47" s="10">
        <f t="shared" si="28"/>
        <v>23.791494438948767</v>
      </c>
      <c r="BK47" s="10">
        <f t="shared" si="28"/>
        <v>28.709791834208389</v>
      </c>
      <c r="BL47" s="10">
        <f t="shared" si="28"/>
        <v>34.528271598762082</v>
      </c>
      <c r="BM47" s="10">
        <f t="shared" si="28"/>
        <v>31.286388087181027</v>
      </c>
      <c r="BN47" s="10">
        <f t="shared" si="28"/>
        <v>31.589114853319217</v>
      </c>
      <c r="BO47" s="10">
        <f t="shared" ref="BO47:CN47" si="29">(BO15/BO31)*100</f>
        <v>38.775168437592725</v>
      </c>
      <c r="BP47" s="10">
        <f t="shared" si="29"/>
        <v>39.284565574603711</v>
      </c>
      <c r="BQ47" s="10">
        <f t="shared" si="29"/>
        <v>46.470607559922215</v>
      </c>
      <c r="BR47" s="10">
        <f t="shared" si="29"/>
        <v>54.243811792075967</v>
      </c>
      <c r="BS47" s="10">
        <f t="shared" si="29"/>
        <v>41.930530896132765</v>
      </c>
      <c r="BT47" s="10">
        <f t="shared" si="29"/>
        <v>42.772821491764574</v>
      </c>
      <c r="BU47" s="10">
        <f t="shared" si="29"/>
        <v>42.193675480560685</v>
      </c>
      <c r="BV47" s="10">
        <f t="shared" si="29"/>
        <v>49.145351555990516</v>
      </c>
      <c r="BW47" s="10">
        <f t="shared" si="29"/>
        <v>61.796997674914067</v>
      </c>
      <c r="BX47" s="10">
        <f t="shared" si="29"/>
        <v>55.09158645612321</v>
      </c>
      <c r="BY47" s="10">
        <f t="shared" si="29"/>
        <v>48.274420548886482</v>
      </c>
      <c r="BZ47" s="10">
        <f t="shared" si="29"/>
        <v>53.624925060822001</v>
      </c>
      <c r="CA47" s="10">
        <f t="shared" si="29"/>
        <v>54.135845579912598</v>
      </c>
      <c r="CB47" s="10">
        <f t="shared" si="29"/>
        <v>57.041874880277234</v>
      </c>
      <c r="CC47" s="10">
        <f t="shared" si="29"/>
        <v>53.851211280792612</v>
      </c>
      <c r="CD47" s="10">
        <f t="shared" si="29"/>
        <v>54.710898182777882</v>
      </c>
      <c r="CE47" s="10">
        <f t="shared" si="29"/>
        <v>48.06336482177592</v>
      </c>
      <c r="CF47" s="10">
        <f t="shared" si="29"/>
        <v>44.596843620800684</v>
      </c>
      <c r="CG47" s="10">
        <f t="shared" si="29"/>
        <v>46.028116848689926</v>
      </c>
      <c r="CH47" s="10">
        <f t="shared" si="29"/>
        <v>50.226380053477037</v>
      </c>
      <c r="CI47" s="10">
        <f t="shared" si="29"/>
        <v>45.218092847855488</v>
      </c>
      <c r="CJ47" s="10">
        <f t="shared" si="29"/>
        <v>43.50957736929638</v>
      </c>
      <c r="CK47" s="10">
        <f t="shared" si="29"/>
        <v>44.361319827746861</v>
      </c>
      <c r="CL47" s="10">
        <f t="shared" si="29"/>
        <v>48.775672692311623</v>
      </c>
      <c r="CM47" s="10">
        <f t="shared" si="29"/>
        <v>47.638125969128602</v>
      </c>
      <c r="CN47" s="10">
        <f t="shared" si="29"/>
        <v>43.593929548272342</v>
      </c>
      <c r="CO47" s="10"/>
    </row>
    <row r="48" spans="1:93" s="12" customFormat="1" x14ac:dyDescent="0.2">
      <c r="A48" s="9" t="s">
        <v>13</v>
      </c>
      <c r="B48" s="10">
        <f>(B16/B31)*100</f>
        <v>164.69189857502317</v>
      </c>
      <c r="C48" s="10">
        <f t="shared" ref="C48:BN48" si="30">(C16/C31)*100</f>
        <v>91.72926134217974</v>
      </c>
      <c r="D48" s="10">
        <f t="shared" si="30"/>
        <v>88.58040507950443</v>
      </c>
      <c r="E48" s="10">
        <f t="shared" si="30"/>
        <v>75.495837648796027</v>
      </c>
      <c r="F48" s="10">
        <f t="shared" si="30"/>
        <v>138.15537460416789</v>
      </c>
      <c r="G48" s="10">
        <f t="shared" si="30"/>
        <v>75.248237451061257</v>
      </c>
      <c r="H48" s="10">
        <f t="shared" si="30"/>
        <v>130.65650948397791</v>
      </c>
      <c r="I48" s="10">
        <f t="shared" si="30"/>
        <v>161.70368867945396</v>
      </c>
      <c r="J48" s="10">
        <f t="shared" si="30"/>
        <v>86.291821440367798</v>
      </c>
      <c r="K48" s="10">
        <f t="shared" si="30"/>
        <v>68.51814260982249</v>
      </c>
      <c r="L48" s="10">
        <f t="shared" si="30"/>
        <v>128.63487437036949</v>
      </c>
      <c r="M48" s="10">
        <f t="shared" si="30"/>
        <v>116.96145063120007</v>
      </c>
      <c r="N48" s="10">
        <f t="shared" si="30"/>
        <v>65.086357618727391</v>
      </c>
      <c r="O48" s="10">
        <f t="shared" si="30"/>
        <v>90.582268360244328</v>
      </c>
      <c r="P48" s="10">
        <f t="shared" si="30"/>
        <v>37.007408800153172</v>
      </c>
      <c r="Q48" s="10">
        <f t="shared" si="30"/>
        <v>73.840210767102093</v>
      </c>
      <c r="R48" s="10">
        <f t="shared" si="30"/>
        <v>53.903509048813191</v>
      </c>
      <c r="S48" s="10">
        <f t="shared" si="30"/>
        <v>74.742930229105596</v>
      </c>
      <c r="T48" s="10">
        <f t="shared" si="30"/>
        <v>47.62755235047748</v>
      </c>
      <c r="U48" s="10">
        <f t="shared" si="30"/>
        <v>47.720697961094544</v>
      </c>
      <c r="V48" s="10">
        <f t="shared" si="30"/>
        <v>55.220740942476901</v>
      </c>
      <c r="W48" s="10">
        <f t="shared" si="30"/>
        <v>53.285574555757286</v>
      </c>
      <c r="X48" s="10">
        <f t="shared" si="30"/>
        <v>51.844116814380648</v>
      </c>
      <c r="Y48" s="10">
        <f t="shared" si="30"/>
        <v>48.946619961615262</v>
      </c>
      <c r="Z48" s="10">
        <f t="shared" si="30"/>
        <v>69.334942542734609</v>
      </c>
      <c r="AA48" s="10">
        <f t="shared" si="30"/>
        <v>55.926980554730619</v>
      </c>
      <c r="AB48" s="10">
        <f t="shared" si="30"/>
        <v>66.178285006138353</v>
      </c>
      <c r="AC48" s="10">
        <f t="shared" si="30"/>
        <v>72.465416396726738</v>
      </c>
      <c r="AD48" s="10">
        <f t="shared" si="30"/>
        <v>57.492567330524302</v>
      </c>
      <c r="AE48" s="10">
        <f t="shared" si="30"/>
        <v>52.828877498966605</v>
      </c>
      <c r="AF48" s="10">
        <f t="shared" si="30"/>
        <v>69.537211594810429</v>
      </c>
      <c r="AG48" s="10">
        <f t="shared" si="30"/>
        <v>64.722650235837321</v>
      </c>
      <c r="AH48" s="10">
        <f t="shared" si="30"/>
        <v>73.940507100516029</v>
      </c>
      <c r="AI48" s="10">
        <f t="shared" si="30"/>
        <v>60.100877348513073</v>
      </c>
      <c r="AJ48" s="10">
        <f t="shared" si="30"/>
        <v>65.069148396629529</v>
      </c>
      <c r="AK48" s="10">
        <f t="shared" si="30"/>
        <v>77.029687271603507</v>
      </c>
      <c r="AL48" s="10">
        <f t="shared" si="30"/>
        <v>63.49966817275854</v>
      </c>
      <c r="AM48" s="10">
        <f t="shared" si="30"/>
        <v>71.059244153417069</v>
      </c>
      <c r="AN48" s="10">
        <f t="shared" si="30"/>
        <v>67.39979771664089</v>
      </c>
      <c r="AO48" s="10">
        <f t="shared" si="30"/>
        <v>87.568439275035473</v>
      </c>
      <c r="AP48" s="10">
        <f t="shared" si="30"/>
        <v>64.650910515477051</v>
      </c>
      <c r="AQ48" s="10">
        <f t="shared" si="30"/>
        <v>63.473144665294214</v>
      </c>
      <c r="AR48" s="10">
        <f t="shared" si="30"/>
        <v>108.62416633187009</v>
      </c>
      <c r="AS48" s="10">
        <f t="shared" si="30"/>
        <v>65.841082380415742</v>
      </c>
      <c r="AT48" s="10">
        <f t="shared" si="30"/>
        <v>82.775700692313393</v>
      </c>
      <c r="AU48" s="10">
        <f t="shared" si="30"/>
        <v>86.249344840022331</v>
      </c>
      <c r="AV48" s="10">
        <f t="shared" si="30"/>
        <v>65.091794313183428</v>
      </c>
      <c r="AW48" s="10">
        <f t="shared" si="30"/>
        <v>85.728056275959318</v>
      </c>
      <c r="AX48" s="10">
        <f t="shared" si="30"/>
        <v>87.130955314265663</v>
      </c>
      <c r="AY48" s="10">
        <f t="shared" si="30"/>
        <v>72.525272568035888</v>
      </c>
      <c r="AZ48" s="10">
        <f t="shared" si="30"/>
        <v>69.831377334170014</v>
      </c>
      <c r="BA48" s="10">
        <f t="shared" si="30"/>
        <v>76.019864176460445</v>
      </c>
      <c r="BB48" s="10">
        <f t="shared" si="30"/>
        <v>64.767361859382447</v>
      </c>
      <c r="BC48" s="10">
        <f t="shared" si="30"/>
        <v>86.320842015861516</v>
      </c>
      <c r="BD48" s="10">
        <f t="shared" si="30"/>
        <v>82.488643550423802</v>
      </c>
      <c r="BE48" s="10">
        <f t="shared" si="30"/>
        <v>115.22934953581773</v>
      </c>
      <c r="BF48" s="10">
        <f t="shared" si="30"/>
        <v>76.595588398959066</v>
      </c>
      <c r="BG48" s="10">
        <f t="shared" si="30"/>
        <v>68.346880516273657</v>
      </c>
      <c r="BH48" s="10">
        <f t="shared" si="30"/>
        <v>62.184509550000087</v>
      </c>
      <c r="BI48" s="10">
        <f t="shared" si="30"/>
        <v>52.451090439121884</v>
      </c>
      <c r="BJ48" s="10">
        <f t="shared" si="30"/>
        <v>43.501139971152163</v>
      </c>
      <c r="BK48" s="10">
        <f t="shared" si="30"/>
        <v>50.213613122383059</v>
      </c>
      <c r="BL48" s="10">
        <f t="shared" si="30"/>
        <v>53.107436046143619</v>
      </c>
      <c r="BM48" s="10">
        <f t="shared" si="30"/>
        <v>52.404361939691846</v>
      </c>
      <c r="BN48" s="10">
        <f t="shared" si="30"/>
        <v>70.069730029216856</v>
      </c>
      <c r="BO48" s="10">
        <f t="shared" ref="BO48:CN48" si="31">(BO16/BO31)*100</f>
        <v>72.700184693439851</v>
      </c>
      <c r="BP48" s="10">
        <f t="shared" si="31"/>
        <v>78.601654502285115</v>
      </c>
      <c r="BQ48" s="10">
        <f t="shared" si="31"/>
        <v>98.80896565078524</v>
      </c>
      <c r="BR48" s="10">
        <f t="shared" si="31"/>
        <v>82.660057273397086</v>
      </c>
      <c r="BS48" s="10">
        <f t="shared" si="31"/>
        <v>95.2104541018318</v>
      </c>
      <c r="BT48" s="10">
        <f t="shared" si="31"/>
        <v>94.475802672904408</v>
      </c>
      <c r="BU48" s="10">
        <f t="shared" si="31"/>
        <v>96.330569988266831</v>
      </c>
      <c r="BV48" s="10">
        <f t="shared" si="31"/>
        <v>85.158265943917968</v>
      </c>
      <c r="BW48" s="10">
        <f t="shared" si="31"/>
        <v>111.94480750516513</v>
      </c>
      <c r="BX48" s="10">
        <f t="shared" si="31"/>
        <v>93.036202326266661</v>
      </c>
      <c r="BY48" s="10">
        <f t="shared" si="31"/>
        <v>160.76475852880213</v>
      </c>
      <c r="BZ48" s="10">
        <f t="shared" si="31"/>
        <v>105.76413942365008</v>
      </c>
      <c r="CA48" s="10">
        <f t="shared" si="31"/>
        <v>119.51792425423278</v>
      </c>
      <c r="CB48" s="10">
        <f t="shared" si="31"/>
        <v>123.60056841127516</v>
      </c>
      <c r="CC48" s="10">
        <f t="shared" si="31"/>
        <v>110.17699185513851</v>
      </c>
      <c r="CD48" s="10">
        <f t="shared" si="31"/>
        <v>110.2969817419313</v>
      </c>
      <c r="CE48" s="10">
        <f t="shared" si="31"/>
        <v>99.601027533162352</v>
      </c>
      <c r="CF48" s="10">
        <f t="shared" si="31"/>
        <v>93.458064593341035</v>
      </c>
      <c r="CG48" s="10">
        <f t="shared" si="31"/>
        <v>93.834728469852152</v>
      </c>
      <c r="CH48" s="10">
        <f t="shared" si="31"/>
        <v>101.9885215059719</v>
      </c>
      <c r="CI48" s="10">
        <f t="shared" si="31"/>
        <v>162.10763852474358</v>
      </c>
      <c r="CJ48" s="10">
        <f t="shared" si="31"/>
        <v>103.28365005372181</v>
      </c>
      <c r="CK48" s="10">
        <f t="shared" si="31"/>
        <v>101.67540963812098</v>
      </c>
      <c r="CL48" s="10">
        <f t="shared" si="31"/>
        <v>112.75230965776579</v>
      </c>
      <c r="CM48" s="10">
        <f t="shared" si="31"/>
        <v>94.3761500655867</v>
      </c>
      <c r="CN48" s="10">
        <f t="shared" si="31"/>
        <v>186.84067428714255</v>
      </c>
      <c r="CO48" s="10"/>
    </row>
    <row r="49" spans="1:93" s="12" customFormat="1" x14ac:dyDescent="0.2">
      <c r="A49" s="9" t="s">
        <v>14</v>
      </c>
      <c r="B49" s="10">
        <f>(B17/B31)*100</f>
        <v>34.395849456331703</v>
      </c>
      <c r="C49" s="10">
        <f t="shared" ref="C49:BN49" si="32">(C17/C31)*100</f>
        <v>42.281355445308542</v>
      </c>
      <c r="D49" s="10">
        <f t="shared" si="32"/>
        <v>37.433257765816272</v>
      </c>
      <c r="E49" s="10">
        <f t="shared" si="32"/>
        <v>35.879861075973579</v>
      </c>
      <c r="F49" s="10">
        <f t="shared" si="32"/>
        <v>32.976012658429624</v>
      </c>
      <c r="G49" s="10">
        <f t="shared" si="32"/>
        <v>30.797595986467858</v>
      </c>
      <c r="H49" s="10">
        <f t="shared" si="32"/>
        <v>37.262006867857735</v>
      </c>
      <c r="I49" s="10">
        <f t="shared" si="32"/>
        <v>35.623527874938915</v>
      </c>
      <c r="J49" s="10">
        <f t="shared" si="32"/>
        <v>36.509129128430786</v>
      </c>
      <c r="K49" s="10">
        <f t="shared" si="32"/>
        <v>28.504998712156976</v>
      </c>
      <c r="L49" s="10">
        <f t="shared" si="32"/>
        <v>29.028972837588459</v>
      </c>
      <c r="M49" s="10">
        <f t="shared" si="32"/>
        <v>28.418452933593276</v>
      </c>
      <c r="N49" s="10">
        <f t="shared" si="32"/>
        <v>28.190722986137729</v>
      </c>
      <c r="O49" s="10">
        <f t="shared" si="32"/>
        <v>29.881098442161086</v>
      </c>
      <c r="P49" s="10">
        <f t="shared" si="32"/>
        <v>23.558059597154653</v>
      </c>
      <c r="Q49" s="10">
        <f t="shared" si="32"/>
        <v>15.36737571676905</v>
      </c>
      <c r="R49" s="10">
        <f t="shared" si="32"/>
        <v>9.2268398618393199</v>
      </c>
      <c r="S49" s="10">
        <f t="shared" si="32"/>
        <v>15.320376549272021</v>
      </c>
      <c r="T49" s="10">
        <f t="shared" si="32"/>
        <v>23.947349944272027</v>
      </c>
      <c r="U49" s="10">
        <f t="shared" si="32"/>
        <v>25.80629595577328</v>
      </c>
      <c r="V49" s="10">
        <f t="shared" si="32"/>
        <v>28.079789175891683</v>
      </c>
      <c r="W49" s="10">
        <f t="shared" si="32"/>
        <v>30.476894285388585</v>
      </c>
      <c r="X49" s="10">
        <f t="shared" si="32"/>
        <v>30.505971738534544</v>
      </c>
      <c r="Y49" s="10">
        <f t="shared" si="32"/>
        <v>29.558403877241417</v>
      </c>
      <c r="Z49" s="10">
        <f t="shared" si="32"/>
        <v>27.36994110938511</v>
      </c>
      <c r="AA49" s="10">
        <f t="shared" si="32"/>
        <v>31.857649179590702</v>
      </c>
      <c r="AB49" s="10">
        <f t="shared" si="32"/>
        <v>32.604224652226591</v>
      </c>
      <c r="AC49" s="10">
        <f t="shared" si="32"/>
        <v>34.101156772077516</v>
      </c>
      <c r="AD49" s="10">
        <f t="shared" si="32"/>
        <v>31.534263041228861</v>
      </c>
      <c r="AE49" s="10">
        <f t="shared" si="32"/>
        <v>24.64744996173529</v>
      </c>
      <c r="AF49" s="10">
        <f t="shared" si="32"/>
        <v>32.347808380146347</v>
      </c>
      <c r="AG49" s="10">
        <f t="shared" si="32"/>
        <v>33.428490484413814</v>
      </c>
      <c r="AH49" s="10">
        <f t="shared" si="32"/>
        <v>33.187393908534546</v>
      </c>
      <c r="AI49" s="10">
        <f t="shared" si="32"/>
        <v>34.165227235421789</v>
      </c>
      <c r="AJ49" s="10">
        <f t="shared" si="32"/>
        <v>30.63872467367802</v>
      </c>
      <c r="AK49" s="10">
        <f t="shared" si="32"/>
        <v>31.707555157243235</v>
      </c>
      <c r="AL49" s="10">
        <f t="shared" si="32"/>
        <v>31.388652440855573</v>
      </c>
      <c r="AM49" s="10">
        <f t="shared" si="32"/>
        <v>29.867264915166398</v>
      </c>
      <c r="AN49" s="10">
        <f t="shared" si="32"/>
        <v>30.330800850106339</v>
      </c>
      <c r="AO49" s="10">
        <f t="shared" si="32"/>
        <v>35.621524553173842</v>
      </c>
      <c r="AP49" s="10">
        <f t="shared" si="32"/>
        <v>29.722630370963437</v>
      </c>
      <c r="AQ49" s="10">
        <f t="shared" si="32"/>
        <v>29.583412471794812</v>
      </c>
      <c r="AR49" s="10">
        <f t="shared" si="32"/>
        <v>26.699508350347106</v>
      </c>
      <c r="AS49" s="10">
        <f t="shared" si="32"/>
        <v>27.432048307840489</v>
      </c>
      <c r="AT49" s="10">
        <f t="shared" si="32"/>
        <v>59.593620123526378</v>
      </c>
      <c r="AU49" s="10">
        <f t="shared" si="32"/>
        <v>25.856457089780761</v>
      </c>
      <c r="AV49" s="10">
        <f t="shared" si="32"/>
        <v>25.018590803283708</v>
      </c>
      <c r="AW49" s="10">
        <f t="shared" si="32"/>
        <v>26.350303750041316</v>
      </c>
      <c r="AX49" s="10">
        <f t="shared" si="32"/>
        <v>25.315903994999083</v>
      </c>
      <c r="AY49" s="10">
        <f t="shared" si="32"/>
        <v>27.32023190215147</v>
      </c>
      <c r="AZ49" s="10">
        <f t="shared" si="32"/>
        <v>26.632825083058805</v>
      </c>
      <c r="BA49" s="10">
        <f t="shared" si="32"/>
        <v>28.21328887233074</v>
      </c>
      <c r="BB49" s="10">
        <f t="shared" si="32"/>
        <v>28.288005045893023</v>
      </c>
      <c r="BC49" s="10">
        <f t="shared" si="32"/>
        <v>27.191415842137236</v>
      </c>
      <c r="BD49" s="10">
        <f t="shared" si="32"/>
        <v>25.145058382897417</v>
      </c>
      <c r="BE49" s="10">
        <f t="shared" si="32"/>
        <v>28.678093147270395</v>
      </c>
      <c r="BF49" s="10">
        <f t="shared" si="32"/>
        <v>35.292992839851308</v>
      </c>
      <c r="BG49" s="10">
        <f t="shared" si="32"/>
        <v>24.936121392572051</v>
      </c>
      <c r="BH49" s="10">
        <f t="shared" si="32"/>
        <v>25.75374829567011</v>
      </c>
      <c r="BI49" s="10">
        <f t="shared" si="32"/>
        <v>21.329824721395006</v>
      </c>
      <c r="BJ49" s="10">
        <f t="shared" si="32"/>
        <v>18.778167657483959</v>
      </c>
      <c r="BK49" s="10">
        <f t="shared" si="32"/>
        <v>7.6571911723600135</v>
      </c>
      <c r="BL49" s="10">
        <f t="shared" si="32"/>
        <v>21.348148713829474</v>
      </c>
      <c r="BM49" s="10">
        <f t="shared" si="32"/>
        <v>20.639469018625363</v>
      </c>
      <c r="BN49" s="10">
        <f t="shared" si="32"/>
        <v>25.697582672322618</v>
      </c>
      <c r="BO49" s="10">
        <f t="shared" ref="BO49:CN49" si="33">(BO17/BO31)*100</f>
        <v>30.394017745130075</v>
      </c>
      <c r="BP49" s="10">
        <f t="shared" si="33"/>
        <v>28.632081783719375</v>
      </c>
      <c r="BQ49" s="10">
        <f t="shared" si="33"/>
        <v>36.925082312463132</v>
      </c>
      <c r="BR49" s="10">
        <f t="shared" si="33"/>
        <v>48.081585016886748</v>
      </c>
      <c r="BS49" s="10">
        <f t="shared" si="33"/>
        <v>38.081080584562592</v>
      </c>
      <c r="BT49" s="10">
        <f t="shared" si="33"/>
        <v>42.593594979592282</v>
      </c>
      <c r="BU49" s="10">
        <f t="shared" si="33"/>
        <v>41.375930510725397</v>
      </c>
      <c r="BV49" s="10">
        <f t="shared" si="33"/>
        <v>41.653367461305976</v>
      </c>
      <c r="BW49" s="10">
        <f t="shared" si="33"/>
        <v>48.463482362650097</v>
      </c>
      <c r="BX49" s="10">
        <f t="shared" si="33"/>
        <v>48.229188451369218</v>
      </c>
      <c r="BY49" s="10">
        <f t="shared" si="33"/>
        <v>44.356762684524213</v>
      </c>
      <c r="BZ49" s="10">
        <f t="shared" si="33"/>
        <v>50.993520348317453</v>
      </c>
      <c r="CA49" s="10">
        <f t="shared" si="33"/>
        <v>53.677818217331527</v>
      </c>
      <c r="CB49" s="10">
        <f t="shared" si="33"/>
        <v>39.58147305227974</v>
      </c>
      <c r="CC49" s="10">
        <f t="shared" si="33"/>
        <v>41.888367146043684</v>
      </c>
      <c r="CD49" s="10">
        <f t="shared" si="33"/>
        <v>40.894609727619688</v>
      </c>
      <c r="CE49" s="10">
        <f t="shared" si="33"/>
        <v>47.210488722438257</v>
      </c>
      <c r="CF49" s="10">
        <f t="shared" si="33"/>
        <v>38.512974886159263</v>
      </c>
      <c r="CG49" s="10">
        <f t="shared" si="33"/>
        <v>38.257308410525198</v>
      </c>
      <c r="CH49" s="10">
        <f t="shared" si="33"/>
        <v>78.426472387016545</v>
      </c>
      <c r="CI49" s="10">
        <f t="shared" si="33"/>
        <v>35.954546765260247</v>
      </c>
      <c r="CJ49" s="10">
        <f t="shared" si="33"/>
        <v>38.305638925625466</v>
      </c>
      <c r="CK49" s="10">
        <f t="shared" si="33"/>
        <v>40.643336567576725</v>
      </c>
      <c r="CL49" s="10">
        <f t="shared" si="33"/>
        <v>43.640117933709782</v>
      </c>
      <c r="CM49" s="10">
        <f t="shared" si="33"/>
        <v>61.593059116594326</v>
      </c>
      <c r="CN49" s="10">
        <f t="shared" si="33"/>
        <v>53.774960521451035</v>
      </c>
      <c r="CO49" s="10"/>
    </row>
    <row r="50" spans="1:93" s="12" customFormat="1" x14ac:dyDescent="0.2">
      <c r="A50" s="9" t="s">
        <v>15</v>
      </c>
      <c r="B50" s="10">
        <f>(B18/B31)*100</f>
        <v>58.065967356169324</v>
      </c>
      <c r="C50" s="10">
        <f t="shared" ref="C50:BN50" si="34">(C18/C31)*100</f>
        <v>55.54423733965065</v>
      </c>
      <c r="D50" s="10">
        <f t="shared" si="34"/>
        <v>47.499431634063598</v>
      </c>
      <c r="E50" s="10">
        <f t="shared" si="34"/>
        <v>61.689721321162885</v>
      </c>
      <c r="F50" s="10">
        <f t="shared" si="34"/>
        <v>51.924428346247268</v>
      </c>
      <c r="G50" s="10">
        <f t="shared" si="34"/>
        <v>44.606577909611289</v>
      </c>
      <c r="H50" s="10">
        <f t="shared" si="34"/>
        <v>52.307218409155986</v>
      </c>
      <c r="I50" s="10">
        <f t="shared" si="34"/>
        <v>54.771347010133638</v>
      </c>
      <c r="J50" s="10">
        <f t="shared" si="34"/>
        <v>60.015590098466674</v>
      </c>
      <c r="K50" s="10">
        <f t="shared" si="34"/>
        <v>50.320776998627451</v>
      </c>
      <c r="L50" s="10">
        <f t="shared" si="34"/>
        <v>46.703737338762984</v>
      </c>
      <c r="M50" s="10">
        <f t="shared" si="34"/>
        <v>52.402670694972755</v>
      </c>
      <c r="N50" s="10">
        <f t="shared" si="34"/>
        <v>61.826037575833269</v>
      </c>
      <c r="O50" s="10">
        <f t="shared" si="34"/>
        <v>37.425786343373943</v>
      </c>
      <c r="P50" s="10">
        <f t="shared" si="34"/>
        <v>39.151541952829561</v>
      </c>
      <c r="Q50" s="10">
        <f t="shared" si="34"/>
        <v>22.45145910204392</v>
      </c>
      <c r="R50" s="10">
        <f t="shared" si="34"/>
        <v>32.713382777293866</v>
      </c>
      <c r="S50" s="10">
        <f t="shared" si="34"/>
        <v>47.930044742770995</v>
      </c>
      <c r="T50" s="10">
        <f t="shared" si="34"/>
        <v>50.40309853644743</v>
      </c>
      <c r="U50" s="10">
        <f t="shared" si="34"/>
        <v>61.661331747280634</v>
      </c>
      <c r="V50" s="10">
        <f t="shared" si="34"/>
        <v>41.67224811443748</v>
      </c>
      <c r="W50" s="10">
        <f t="shared" si="34"/>
        <v>49.16191027840415</v>
      </c>
      <c r="X50" s="10">
        <f t="shared" si="34"/>
        <v>67.152642520870103</v>
      </c>
      <c r="Y50" s="10">
        <f t="shared" si="34"/>
        <v>59.212878295108403</v>
      </c>
      <c r="Z50" s="10">
        <f t="shared" si="34"/>
        <v>57.667992386685071</v>
      </c>
      <c r="AA50" s="10">
        <f t="shared" si="34"/>
        <v>59.534967160783872</v>
      </c>
      <c r="AB50" s="10">
        <f t="shared" si="34"/>
        <v>72.132868548729576</v>
      </c>
      <c r="AC50" s="10">
        <f t="shared" si="34"/>
        <v>54.652635719628087</v>
      </c>
      <c r="AD50" s="10">
        <f t="shared" si="34"/>
        <v>58.800233638060696</v>
      </c>
      <c r="AE50" s="10">
        <f t="shared" si="34"/>
        <v>56.514887450478689</v>
      </c>
      <c r="AF50" s="10">
        <f t="shared" si="34"/>
        <v>59.975363362723101</v>
      </c>
      <c r="AG50" s="10">
        <f t="shared" si="34"/>
        <v>82.584990189935553</v>
      </c>
      <c r="AH50" s="10">
        <f t="shared" si="34"/>
        <v>65.673872492700042</v>
      </c>
      <c r="AI50" s="10">
        <f t="shared" si="34"/>
        <v>70.950533799249172</v>
      </c>
      <c r="AJ50" s="10">
        <f t="shared" si="34"/>
        <v>70.140515791601771</v>
      </c>
      <c r="AK50" s="10">
        <f t="shared" si="34"/>
        <v>70.695674352205955</v>
      </c>
      <c r="AL50" s="10">
        <f t="shared" si="34"/>
        <v>64.759439181451157</v>
      </c>
      <c r="AM50" s="10">
        <f t="shared" si="34"/>
        <v>62.8784346248489</v>
      </c>
      <c r="AN50" s="10">
        <f t="shared" si="34"/>
        <v>70.241124176585217</v>
      </c>
      <c r="AO50" s="10">
        <f t="shared" si="34"/>
        <v>73.646381020222208</v>
      </c>
      <c r="AP50" s="10">
        <f t="shared" si="34"/>
        <v>66.639681926635831</v>
      </c>
      <c r="AQ50" s="10">
        <f t="shared" si="34"/>
        <v>61.404629490920748</v>
      </c>
      <c r="AR50" s="10">
        <f t="shared" si="34"/>
        <v>62.533147617700266</v>
      </c>
      <c r="AS50" s="10">
        <f t="shared" si="34"/>
        <v>80.351596186544285</v>
      </c>
      <c r="AT50" s="10">
        <f t="shared" si="34"/>
        <v>57.59426339563548</v>
      </c>
      <c r="AU50" s="10">
        <f t="shared" si="34"/>
        <v>64.268087329130012</v>
      </c>
      <c r="AV50" s="10">
        <f t="shared" si="34"/>
        <v>58.444058942328795</v>
      </c>
      <c r="AW50" s="10">
        <f t="shared" si="34"/>
        <v>60.164520687915214</v>
      </c>
      <c r="AX50" s="10">
        <f t="shared" si="34"/>
        <v>81.594155158984478</v>
      </c>
      <c r="AY50" s="10">
        <f t="shared" si="34"/>
        <v>59.597887855477126</v>
      </c>
      <c r="AZ50" s="10">
        <f t="shared" si="34"/>
        <v>69.009987593762659</v>
      </c>
      <c r="BA50" s="10">
        <f t="shared" si="34"/>
        <v>64.691148015712116</v>
      </c>
      <c r="BB50" s="10">
        <f t="shared" si="34"/>
        <v>65.310777108428141</v>
      </c>
      <c r="BC50" s="10">
        <f t="shared" si="34"/>
        <v>60.456224166133651</v>
      </c>
      <c r="BD50" s="10">
        <f t="shared" si="34"/>
        <v>67.588713960819618</v>
      </c>
      <c r="BE50" s="10">
        <f t="shared" si="34"/>
        <v>75.07919044729222</v>
      </c>
      <c r="BF50" s="10">
        <f t="shared" si="34"/>
        <v>68.534264723325819</v>
      </c>
      <c r="BG50" s="10">
        <f t="shared" si="34"/>
        <v>60.800448191363678</v>
      </c>
      <c r="BH50" s="10">
        <f t="shared" si="34"/>
        <v>56.493148734822242</v>
      </c>
      <c r="BI50" s="10">
        <f t="shared" si="34"/>
        <v>45.110957524190162</v>
      </c>
      <c r="BJ50" s="10">
        <f t="shared" si="34"/>
        <v>52.177569257011868</v>
      </c>
      <c r="BK50" s="10">
        <f t="shared" si="34"/>
        <v>39.222453951718272</v>
      </c>
      <c r="BL50" s="10">
        <f t="shared" si="34"/>
        <v>40.903672119070414</v>
      </c>
      <c r="BM50" s="10">
        <f t="shared" si="34"/>
        <v>45.472160292521018</v>
      </c>
      <c r="BN50" s="10">
        <f t="shared" si="34"/>
        <v>67.188921946060532</v>
      </c>
      <c r="BO50" s="10">
        <f t="shared" ref="BO50:CN50" si="35">(BO18/BO31)*100</f>
        <v>58.195204055062611</v>
      </c>
      <c r="BP50" s="10">
        <f t="shared" si="35"/>
        <v>85.200956387879131</v>
      </c>
      <c r="BQ50" s="10">
        <f t="shared" si="35"/>
        <v>68.151942038816273</v>
      </c>
      <c r="BR50" s="10">
        <f t="shared" si="35"/>
        <v>67.212816656429027</v>
      </c>
      <c r="BS50" s="10">
        <f t="shared" si="35"/>
        <v>90.915818274470467</v>
      </c>
      <c r="BT50" s="10">
        <f t="shared" si="35"/>
        <v>66.710343675842765</v>
      </c>
      <c r="BU50" s="10">
        <f t="shared" si="35"/>
        <v>89.378596095727758</v>
      </c>
      <c r="BV50" s="10">
        <f t="shared" si="35"/>
        <v>90.058128802925935</v>
      </c>
      <c r="BW50" s="10">
        <f t="shared" si="35"/>
        <v>63.322837477302066</v>
      </c>
      <c r="BX50" s="10">
        <f t="shared" si="35"/>
        <v>49.654795711422764</v>
      </c>
      <c r="BY50" s="10">
        <f t="shared" si="35"/>
        <v>62.958267597897965</v>
      </c>
      <c r="BZ50" s="10">
        <f t="shared" si="35"/>
        <v>82.61353458484092</v>
      </c>
      <c r="CA50" s="10">
        <f t="shared" si="35"/>
        <v>63.490393268614795</v>
      </c>
      <c r="CB50" s="10">
        <f t="shared" si="35"/>
        <v>93.783189951033762</v>
      </c>
      <c r="CC50" s="10">
        <f t="shared" si="35"/>
        <v>77.376867833412575</v>
      </c>
      <c r="CD50" s="10">
        <f t="shared" si="35"/>
        <v>75.803222999663205</v>
      </c>
      <c r="CE50" s="10">
        <f t="shared" si="35"/>
        <v>65.056419458450591</v>
      </c>
      <c r="CF50" s="10">
        <f t="shared" si="35"/>
        <v>62.482992724652512</v>
      </c>
      <c r="CG50" s="10">
        <f t="shared" si="35"/>
        <v>57.107279189682934</v>
      </c>
      <c r="CH50" s="10">
        <f t="shared" si="35"/>
        <v>59.555886573235853</v>
      </c>
      <c r="CI50" s="10">
        <f t="shared" si="35"/>
        <v>70.140307205324163</v>
      </c>
      <c r="CJ50" s="10">
        <f t="shared" si="35"/>
        <v>62.710449402516602</v>
      </c>
      <c r="CK50" s="10">
        <f t="shared" si="35"/>
        <v>65.115402631576359</v>
      </c>
      <c r="CL50" s="10">
        <f t="shared" si="35"/>
        <v>58.27839415122105</v>
      </c>
      <c r="CM50" s="10">
        <f t="shared" si="35"/>
        <v>50.765988941631768</v>
      </c>
      <c r="CN50" s="10">
        <f t="shared" si="35"/>
        <v>0</v>
      </c>
      <c r="CO50" s="10"/>
    </row>
    <row r="51" spans="1:93" s="12" customFormat="1" x14ac:dyDescent="0.2">
      <c r="A51" s="9" t="s">
        <v>16</v>
      </c>
      <c r="B51" s="10">
        <f>(B19/B31)*100</f>
        <v>26.336176411488633</v>
      </c>
      <c r="C51" s="10">
        <f t="shared" ref="C51:BN51" si="36">(C19/C31)*100</f>
        <v>26.458209530770255</v>
      </c>
      <c r="D51" s="10">
        <f t="shared" si="36"/>
        <v>27.919855824344005</v>
      </c>
      <c r="E51" s="10">
        <f t="shared" si="36"/>
        <v>23.45769526833158</v>
      </c>
      <c r="F51" s="10">
        <f t="shared" si="36"/>
        <v>22.322102978060208</v>
      </c>
      <c r="G51" s="10">
        <f t="shared" si="36"/>
        <v>27.148040529935219</v>
      </c>
      <c r="H51" s="10">
        <f t="shared" si="36"/>
        <v>21.911059394170781</v>
      </c>
      <c r="I51" s="10">
        <f t="shared" si="36"/>
        <v>22.653953216027698</v>
      </c>
      <c r="J51" s="10">
        <f t="shared" si="36"/>
        <v>28.126248357377825</v>
      </c>
      <c r="K51" s="10">
        <f t="shared" si="36"/>
        <v>22.984913806097012</v>
      </c>
      <c r="L51" s="10">
        <f t="shared" si="36"/>
        <v>28.443767655457698</v>
      </c>
      <c r="M51" s="10">
        <f t="shared" si="36"/>
        <v>18.281770355505596</v>
      </c>
      <c r="N51" s="10">
        <f t="shared" si="36"/>
        <v>21.641657399736879</v>
      </c>
      <c r="O51" s="10">
        <f t="shared" si="36"/>
        <v>20.033750921648078</v>
      </c>
      <c r="P51" s="10">
        <f t="shared" si="36"/>
        <v>17.555960615477261</v>
      </c>
      <c r="Q51" s="10">
        <f t="shared" si="36"/>
        <v>14.269895651517794</v>
      </c>
      <c r="R51" s="10">
        <f t="shared" si="36"/>
        <v>15.247040491418623</v>
      </c>
      <c r="S51" s="10">
        <f t="shared" si="36"/>
        <v>19.172231405164027</v>
      </c>
      <c r="T51" s="10">
        <f t="shared" si="36"/>
        <v>17.44082992942748</v>
      </c>
      <c r="U51" s="10">
        <f t="shared" si="36"/>
        <v>19.081587666645305</v>
      </c>
      <c r="V51" s="10">
        <f t="shared" si="36"/>
        <v>17.954602249663683</v>
      </c>
      <c r="W51" s="10">
        <f t="shared" si="36"/>
        <v>18.609157614060063</v>
      </c>
      <c r="X51" s="10">
        <f t="shared" si="36"/>
        <v>18.767248547319817</v>
      </c>
      <c r="Y51" s="10">
        <f t="shared" si="36"/>
        <v>21.303485049597985</v>
      </c>
      <c r="Z51" s="10">
        <f t="shared" si="36"/>
        <v>22.173033054708124</v>
      </c>
      <c r="AA51" s="10">
        <f t="shared" si="36"/>
        <v>20.289285924693313</v>
      </c>
      <c r="AB51" s="10">
        <f t="shared" si="36"/>
        <v>27.802189527645783</v>
      </c>
      <c r="AC51" s="10">
        <f t="shared" si="36"/>
        <v>23.157344985774284</v>
      </c>
      <c r="AD51" s="10">
        <f t="shared" si="36"/>
        <v>19.508718544989065</v>
      </c>
      <c r="AE51" s="10">
        <f t="shared" si="36"/>
        <v>21.044933994672096</v>
      </c>
      <c r="AF51" s="10">
        <f t="shared" si="36"/>
        <v>21.648986837347696</v>
      </c>
      <c r="AG51" s="10">
        <f t="shared" si="36"/>
        <v>21.819411545037148</v>
      </c>
      <c r="AH51" s="10">
        <f t="shared" si="36"/>
        <v>22.117929569299189</v>
      </c>
      <c r="AI51" s="10">
        <f t="shared" si="36"/>
        <v>25.558436404753813</v>
      </c>
      <c r="AJ51" s="10">
        <f t="shared" si="36"/>
        <v>21.464831604739654</v>
      </c>
      <c r="AK51" s="10">
        <f t="shared" si="36"/>
        <v>20.971187940751044</v>
      </c>
      <c r="AL51" s="10">
        <f t="shared" si="36"/>
        <v>19.835586135404146</v>
      </c>
      <c r="AM51" s="10">
        <f t="shared" si="36"/>
        <v>20.157160626496111</v>
      </c>
      <c r="AN51" s="10">
        <f t="shared" si="36"/>
        <v>21.186040636242588</v>
      </c>
      <c r="AO51" s="10">
        <f t="shared" si="36"/>
        <v>19.781661754353472</v>
      </c>
      <c r="AP51" s="10">
        <f t="shared" si="36"/>
        <v>21.251812461577885</v>
      </c>
      <c r="AQ51" s="10">
        <f t="shared" si="36"/>
        <v>18.804014562919484</v>
      </c>
      <c r="AR51" s="10">
        <f t="shared" si="36"/>
        <v>21.778043840936601</v>
      </c>
      <c r="AS51" s="10">
        <f t="shared" si="36"/>
        <v>21.927692882125918</v>
      </c>
      <c r="AT51" s="10">
        <f t="shared" si="36"/>
        <v>24.358175310521702</v>
      </c>
      <c r="AU51" s="10">
        <f t="shared" si="36"/>
        <v>21.052827532842233</v>
      </c>
      <c r="AV51" s="10">
        <f t="shared" si="36"/>
        <v>21.837347109694647</v>
      </c>
      <c r="AW51" s="10">
        <f t="shared" si="36"/>
        <v>18.458846056386129</v>
      </c>
      <c r="AX51" s="10">
        <f t="shared" si="36"/>
        <v>26.614783300456619</v>
      </c>
      <c r="AY51" s="10">
        <f t="shared" si="36"/>
        <v>27.06673601988167</v>
      </c>
      <c r="AZ51" s="10">
        <f t="shared" si="36"/>
        <v>33.219792042935495</v>
      </c>
      <c r="BA51" s="10">
        <f t="shared" si="36"/>
        <v>27.025515846190928</v>
      </c>
      <c r="BB51" s="10">
        <f t="shared" si="36"/>
        <v>26.606926482850813</v>
      </c>
      <c r="BC51" s="10">
        <f t="shared" si="36"/>
        <v>37.838694171161116</v>
      </c>
      <c r="BD51" s="10">
        <f t="shared" si="36"/>
        <v>31.533234111650955</v>
      </c>
      <c r="BE51" s="10">
        <f t="shared" si="36"/>
        <v>28.793752157235357</v>
      </c>
      <c r="BF51" s="10">
        <f t="shared" si="36"/>
        <v>29.123257502350835</v>
      </c>
      <c r="BG51" s="10">
        <f t="shared" si="36"/>
        <v>27.715858121287212</v>
      </c>
      <c r="BH51" s="10">
        <f t="shared" si="36"/>
        <v>24.199726760354917</v>
      </c>
      <c r="BI51" s="10">
        <f t="shared" si="36"/>
        <v>24.249242370681106</v>
      </c>
      <c r="BJ51" s="10">
        <f t="shared" si="36"/>
        <v>19.70067563020288</v>
      </c>
      <c r="BK51" s="10">
        <f t="shared" si="36"/>
        <v>20.586212229252258</v>
      </c>
      <c r="BL51" s="10">
        <f t="shared" si="36"/>
        <v>20.79687671647434</v>
      </c>
      <c r="BM51" s="10">
        <f t="shared" si="36"/>
        <v>18.943873558544571</v>
      </c>
      <c r="BN51" s="10">
        <f t="shared" si="36"/>
        <v>19.355018792859362</v>
      </c>
      <c r="BO51" s="10">
        <f t="shared" ref="BO51:CN51" si="37">(BO19/BO31)*100</f>
        <v>18.815414735659168</v>
      </c>
      <c r="BP51" s="10">
        <f t="shared" si="37"/>
        <v>17.337424525533123</v>
      </c>
      <c r="BQ51" s="10">
        <f t="shared" si="37"/>
        <v>22.463890386686241</v>
      </c>
      <c r="BR51" s="10">
        <f t="shared" si="37"/>
        <v>20.897328834132161</v>
      </c>
      <c r="BS51" s="10">
        <f t="shared" si="37"/>
        <v>22.703051380879579</v>
      </c>
      <c r="BT51" s="10">
        <f t="shared" si="37"/>
        <v>21.747927572292792</v>
      </c>
      <c r="BU51" s="10">
        <f t="shared" si="37"/>
        <v>22.51876301134357</v>
      </c>
      <c r="BV51" s="10">
        <f t="shared" si="37"/>
        <v>25.63149424226523</v>
      </c>
      <c r="BW51" s="10">
        <f t="shared" si="37"/>
        <v>24.461861265564046</v>
      </c>
      <c r="BX51" s="10">
        <f t="shared" si="37"/>
        <v>25.70165484465462</v>
      </c>
      <c r="BY51" s="10">
        <f t="shared" si="37"/>
        <v>23.901464052434356</v>
      </c>
      <c r="BZ51" s="10">
        <f t="shared" si="37"/>
        <v>27.509109882095075</v>
      </c>
      <c r="CA51" s="10">
        <f t="shared" si="37"/>
        <v>27.741445486710219</v>
      </c>
      <c r="CB51" s="10">
        <f t="shared" si="37"/>
        <v>29.22436119877575</v>
      </c>
      <c r="CC51" s="10">
        <f t="shared" si="37"/>
        <v>29.153630555725151</v>
      </c>
      <c r="CD51" s="10">
        <f t="shared" si="37"/>
        <v>28.608997660956494</v>
      </c>
      <c r="CE51" s="10">
        <f t="shared" si="37"/>
        <v>29.102988502865141</v>
      </c>
      <c r="CF51" s="10">
        <f t="shared" si="37"/>
        <v>26.259348036527602</v>
      </c>
      <c r="CG51" s="10">
        <f t="shared" si="37"/>
        <v>24.377323093021534</v>
      </c>
      <c r="CH51" s="10">
        <f t="shared" si="37"/>
        <v>28.835829787079568</v>
      </c>
      <c r="CI51" s="10">
        <f t="shared" si="37"/>
        <v>24.817059298992763</v>
      </c>
      <c r="CJ51" s="10">
        <f t="shared" si="37"/>
        <v>25.674349760723537</v>
      </c>
      <c r="CK51" s="10">
        <f t="shared" si="37"/>
        <v>24.148022610116701</v>
      </c>
      <c r="CL51" s="10">
        <f t="shared" si="37"/>
        <v>27.270426753940463</v>
      </c>
      <c r="CM51" s="10">
        <f t="shared" si="37"/>
        <v>22.970184773650214</v>
      </c>
      <c r="CN51" s="10">
        <f t="shared" si="37"/>
        <v>25.214675396016613</v>
      </c>
      <c r="CO51" s="10"/>
    </row>
    <row r="52" spans="1:93" s="12" customFormat="1" x14ac:dyDescent="0.2">
      <c r="A52" s="9" t="s">
        <v>17</v>
      </c>
      <c r="B52" s="10">
        <f>(B20/B31)*100</f>
        <v>48.0419603808025</v>
      </c>
      <c r="C52" s="10">
        <f t="shared" ref="C52:BN52" si="38">(C20/C31)*100</f>
        <v>25.04223050966683</v>
      </c>
      <c r="D52" s="10">
        <f t="shared" si="38"/>
        <v>23.08860397626496</v>
      </c>
      <c r="E52" s="10">
        <f t="shared" si="38"/>
        <v>24.227970013851095</v>
      </c>
      <c r="F52" s="10">
        <f t="shared" si="38"/>
        <v>22.794329584627345</v>
      </c>
      <c r="G52" s="10">
        <f t="shared" si="38"/>
        <v>24.05055039306189</v>
      </c>
      <c r="H52" s="10">
        <f t="shared" si="38"/>
        <v>24.062665405607085</v>
      </c>
      <c r="I52" s="10">
        <f t="shared" si="38"/>
        <v>25.301519905245112</v>
      </c>
      <c r="J52" s="10">
        <f t="shared" si="38"/>
        <v>22.976355857982849</v>
      </c>
      <c r="K52" s="10">
        <f t="shared" si="38"/>
        <v>31.608209631081625</v>
      </c>
      <c r="L52" s="10">
        <f t="shared" si="38"/>
        <v>21.716911814763275</v>
      </c>
      <c r="M52" s="10">
        <f t="shared" si="38"/>
        <v>22.301036662595315</v>
      </c>
      <c r="N52" s="10">
        <f t="shared" si="38"/>
        <v>25.190277766372621</v>
      </c>
      <c r="O52" s="10">
        <f t="shared" si="38"/>
        <v>22.879334576853612</v>
      </c>
      <c r="P52" s="10">
        <f t="shared" si="38"/>
        <v>18.68553912515566</v>
      </c>
      <c r="Q52" s="10">
        <f t="shared" si="38"/>
        <v>14.122732146432899</v>
      </c>
      <c r="R52" s="10">
        <f t="shared" si="38"/>
        <v>13.024344862495068</v>
      </c>
      <c r="S52" s="10">
        <f t="shared" si="38"/>
        <v>16.854187471154486</v>
      </c>
      <c r="T52" s="10">
        <f t="shared" si="38"/>
        <v>20.135729588600171</v>
      </c>
      <c r="U52" s="10">
        <f t="shared" si="38"/>
        <v>22.465718215456327</v>
      </c>
      <c r="V52" s="10">
        <f t="shared" si="38"/>
        <v>20.359362614523597</v>
      </c>
      <c r="W52" s="10">
        <f t="shared" si="38"/>
        <v>19.448016168182466</v>
      </c>
      <c r="X52" s="10">
        <f t="shared" si="38"/>
        <v>17.27334390685597</v>
      </c>
      <c r="Y52" s="10">
        <f t="shared" si="38"/>
        <v>23.722776238161554</v>
      </c>
      <c r="Z52" s="10">
        <f t="shared" si="38"/>
        <v>24.931251893179475</v>
      </c>
      <c r="AA52" s="10">
        <f t="shared" si="38"/>
        <v>28.043486100473835</v>
      </c>
      <c r="AB52" s="10">
        <f t="shared" si="38"/>
        <v>22.997783922891845</v>
      </c>
      <c r="AC52" s="10">
        <f t="shared" si="38"/>
        <v>33.457197583689464</v>
      </c>
      <c r="AD52" s="10">
        <f t="shared" si="38"/>
        <v>34.464965630166937</v>
      </c>
      <c r="AE52" s="10">
        <f t="shared" si="38"/>
        <v>36.581614429465041</v>
      </c>
      <c r="AF52" s="10">
        <f t="shared" si="38"/>
        <v>42.230493030798918</v>
      </c>
      <c r="AG52" s="10">
        <f t="shared" si="38"/>
        <v>45.418366954405045</v>
      </c>
      <c r="AH52" s="10">
        <f t="shared" si="38"/>
        <v>37.257730400638181</v>
      </c>
      <c r="AI52" s="10">
        <f t="shared" si="38"/>
        <v>28.625750041767184</v>
      </c>
      <c r="AJ52" s="10">
        <f t="shared" si="38"/>
        <v>34.261846286376056</v>
      </c>
      <c r="AK52" s="10">
        <f t="shared" si="38"/>
        <v>29.774217710305045</v>
      </c>
      <c r="AL52" s="10">
        <f t="shared" si="38"/>
        <v>24.731028111419615</v>
      </c>
      <c r="AM52" s="10">
        <f t="shared" si="38"/>
        <v>28.30873610846022</v>
      </c>
      <c r="AN52" s="10">
        <f t="shared" si="38"/>
        <v>28.721809253840579</v>
      </c>
      <c r="AO52" s="10">
        <f t="shared" si="38"/>
        <v>26.461745556356959</v>
      </c>
      <c r="AP52" s="10">
        <f t="shared" si="38"/>
        <v>29.314370514653842</v>
      </c>
      <c r="AQ52" s="10">
        <f t="shared" si="38"/>
        <v>29.340204004197584</v>
      </c>
      <c r="AR52" s="10">
        <f t="shared" si="38"/>
        <v>28.782881015918786</v>
      </c>
      <c r="AS52" s="10">
        <f t="shared" si="38"/>
        <v>29.866693418382152</v>
      </c>
      <c r="AT52" s="10">
        <f t="shared" si="38"/>
        <v>25.639162280953858</v>
      </c>
      <c r="AU52" s="10">
        <f t="shared" si="38"/>
        <v>24.717345402865352</v>
      </c>
      <c r="AV52" s="10">
        <f t="shared" si="38"/>
        <v>27.937548654485628</v>
      </c>
      <c r="AW52" s="10">
        <f t="shared" si="38"/>
        <v>24.706923495984221</v>
      </c>
      <c r="AX52" s="10">
        <f t="shared" si="38"/>
        <v>26.83315112732641</v>
      </c>
      <c r="AY52" s="10">
        <f t="shared" si="38"/>
        <v>22.985853646005943</v>
      </c>
      <c r="AZ52" s="10">
        <f t="shared" si="38"/>
        <v>23.453718306081967</v>
      </c>
      <c r="BA52" s="10">
        <f t="shared" si="38"/>
        <v>28.943666166248573</v>
      </c>
      <c r="BB52" s="10">
        <f t="shared" si="38"/>
        <v>25.353386699033425</v>
      </c>
      <c r="BC52" s="10">
        <f t="shared" si="38"/>
        <v>25.805558509053078</v>
      </c>
      <c r="BD52" s="10">
        <f t="shared" si="38"/>
        <v>26.605276969081405</v>
      </c>
      <c r="BE52" s="10">
        <f t="shared" si="38"/>
        <v>26.443101550704906</v>
      </c>
      <c r="BF52" s="10">
        <f t="shared" si="38"/>
        <v>29.346053655039935</v>
      </c>
      <c r="BG52" s="10">
        <f t="shared" si="38"/>
        <v>21.605521745818663</v>
      </c>
      <c r="BH52" s="10">
        <f t="shared" si="38"/>
        <v>26.97885806346364</v>
      </c>
      <c r="BI52" s="10">
        <f t="shared" si="38"/>
        <v>20.311847773523333</v>
      </c>
      <c r="BJ52" s="10">
        <f t="shared" si="38"/>
        <v>16.690528775986778</v>
      </c>
      <c r="BK52" s="10">
        <f t="shared" si="38"/>
        <v>19.784574042320674</v>
      </c>
      <c r="BL52" s="10">
        <f t="shared" si="38"/>
        <v>19.061623923116958</v>
      </c>
      <c r="BM52" s="10">
        <f t="shared" si="38"/>
        <v>17.040709612323678</v>
      </c>
      <c r="BN52" s="10">
        <f t="shared" si="38"/>
        <v>19.841579004387178</v>
      </c>
      <c r="BO52" s="10">
        <f t="shared" ref="BO52:CN52" si="39">(BO20/BO31)*100</f>
        <v>24.004772361855998</v>
      </c>
      <c r="BP52" s="10">
        <f t="shared" si="39"/>
        <v>25.544420751584667</v>
      </c>
      <c r="BQ52" s="10">
        <f t="shared" si="39"/>
        <v>25.031081790456781</v>
      </c>
      <c r="BR52" s="10">
        <f t="shared" si="39"/>
        <v>26.248158309726648</v>
      </c>
      <c r="BS52" s="10">
        <f t="shared" si="39"/>
        <v>27.157363940014829</v>
      </c>
      <c r="BT52" s="10">
        <f t="shared" si="39"/>
        <v>30.929941949411692</v>
      </c>
      <c r="BU52" s="10">
        <f t="shared" si="39"/>
        <v>25.59152336165516</v>
      </c>
      <c r="BV52" s="10">
        <f t="shared" si="39"/>
        <v>31.60225964724852</v>
      </c>
      <c r="BW52" s="10">
        <f t="shared" si="39"/>
        <v>27.055766950962219</v>
      </c>
      <c r="BX52" s="10">
        <f t="shared" si="39"/>
        <v>28.471910858081053</v>
      </c>
      <c r="BY52" s="10">
        <f t="shared" si="39"/>
        <v>28.233956375924834</v>
      </c>
      <c r="BZ52" s="10">
        <f t="shared" si="39"/>
        <v>27.180657219172428</v>
      </c>
      <c r="CA52" s="10">
        <f t="shared" si="39"/>
        <v>28.507751779696665</v>
      </c>
      <c r="CB52" s="10">
        <f t="shared" si="39"/>
        <v>30.332370157911598</v>
      </c>
      <c r="CC52" s="10">
        <f t="shared" si="39"/>
        <v>28.845635708182709</v>
      </c>
      <c r="CD52" s="10">
        <f t="shared" si="39"/>
        <v>30.794816263953596</v>
      </c>
      <c r="CE52" s="10">
        <f t="shared" si="39"/>
        <v>30.857809431524231</v>
      </c>
      <c r="CF52" s="10">
        <f t="shared" si="39"/>
        <v>32.22590023108701</v>
      </c>
      <c r="CG52" s="10">
        <f t="shared" si="39"/>
        <v>29.020937346188713</v>
      </c>
      <c r="CH52" s="10">
        <f t="shared" si="39"/>
        <v>31.175088179945764</v>
      </c>
      <c r="CI52" s="10">
        <f t="shared" si="39"/>
        <v>27.327812478186942</v>
      </c>
      <c r="CJ52" s="10">
        <f t="shared" si="39"/>
        <v>28.320978411529531</v>
      </c>
      <c r="CK52" s="10">
        <f t="shared" si="39"/>
        <v>27.132832572466381</v>
      </c>
      <c r="CL52" s="10">
        <f t="shared" si="39"/>
        <v>29.845065990395415</v>
      </c>
      <c r="CM52" s="10">
        <f t="shared" si="39"/>
        <v>27.601845811319436</v>
      </c>
      <c r="CN52" s="10">
        <f t="shared" si="39"/>
        <v>26.054949553193186</v>
      </c>
      <c r="CO52" s="10"/>
    </row>
    <row r="53" spans="1:93" s="12" customFormat="1" x14ac:dyDescent="0.2">
      <c r="A53" s="9" t="s">
        <v>18</v>
      </c>
      <c r="B53" s="10">
        <f>(B21/B31)*100</f>
        <v>22.548807674274737</v>
      </c>
      <c r="C53" s="10">
        <f t="shared" ref="C53:BN53" si="40">(C21/C31)*100</f>
        <v>23.561667882252664</v>
      </c>
      <c r="D53" s="10">
        <f t="shared" si="40"/>
        <v>23.108129955218832</v>
      </c>
      <c r="E53" s="10">
        <f t="shared" si="40"/>
        <v>30.751663971702637</v>
      </c>
      <c r="F53" s="10">
        <f t="shared" si="40"/>
        <v>28.349942100231772</v>
      </c>
      <c r="G53" s="10">
        <f t="shared" si="40"/>
        <v>25.179317859153933</v>
      </c>
      <c r="H53" s="10">
        <f t="shared" si="40"/>
        <v>31.396489656997584</v>
      </c>
      <c r="I53" s="10">
        <f t="shared" si="40"/>
        <v>31.626039530449152</v>
      </c>
      <c r="J53" s="10">
        <f t="shared" si="40"/>
        <v>35.21348093612319</v>
      </c>
      <c r="K53" s="10">
        <f t="shared" si="40"/>
        <v>23.787760706172982</v>
      </c>
      <c r="L53" s="10">
        <f t="shared" si="40"/>
        <v>38.873279469928164</v>
      </c>
      <c r="M53" s="10">
        <f t="shared" si="40"/>
        <v>24.3049206651609</v>
      </c>
      <c r="N53" s="10">
        <f t="shared" si="40"/>
        <v>22.494756203552495</v>
      </c>
      <c r="O53" s="10">
        <f t="shared" si="40"/>
        <v>22.867411386496926</v>
      </c>
      <c r="P53" s="10">
        <f t="shared" si="40"/>
        <v>20.685725313081427</v>
      </c>
      <c r="Q53" s="10">
        <f t="shared" si="40"/>
        <v>10.181492063021182</v>
      </c>
      <c r="R53" s="10">
        <f t="shared" si="40"/>
        <v>12.729582748904681</v>
      </c>
      <c r="S53" s="10">
        <f t="shared" si="40"/>
        <v>16.647718994526887</v>
      </c>
      <c r="T53" s="10">
        <f t="shared" si="40"/>
        <v>18.158758823088505</v>
      </c>
      <c r="U53" s="10">
        <f t="shared" si="40"/>
        <v>25.263472568349201</v>
      </c>
      <c r="V53" s="10">
        <f t="shared" si="40"/>
        <v>14.711586070883822</v>
      </c>
      <c r="W53" s="10">
        <f t="shared" si="40"/>
        <v>25.630442819130451</v>
      </c>
      <c r="X53" s="10">
        <f t="shared" si="40"/>
        <v>24.110918484150904</v>
      </c>
      <c r="Y53" s="10">
        <f t="shared" si="40"/>
        <v>23.534096626797893</v>
      </c>
      <c r="Z53" s="10">
        <f t="shared" si="40"/>
        <v>25.594765649225131</v>
      </c>
      <c r="AA53" s="10">
        <f t="shared" si="40"/>
        <v>24.730567136256354</v>
      </c>
      <c r="AB53" s="10">
        <f t="shared" si="40"/>
        <v>28.40335079131026</v>
      </c>
      <c r="AC53" s="10">
        <f t="shared" si="40"/>
        <v>24.803246024525937</v>
      </c>
      <c r="AD53" s="10">
        <f t="shared" si="40"/>
        <v>28.142152046509146</v>
      </c>
      <c r="AE53" s="10">
        <f t="shared" si="40"/>
        <v>24.946193477361376</v>
      </c>
      <c r="AF53" s="10">
        <f t="shared" si="40"/>
        <v>26.107348921007016</v>
      </c>
      <c r="AG53" s="10">
        <f t="shared" si="40"/>
        <v>31.773959382767288</v>
      </c>
      <c r="AH53" s="10">
        <f t="shared" si="40"/>
        <v>28.644653309159107</v>
      </c>
      <c r="AI53" s="10">
        <f t="shared" si="40"/>
        <v>26.830890275319785</v>
      </c>
      <c r="AJ53" s="10">
        <f t="shared" si="40"/>
        <v>29.381998697136698</v>
      </c>
      <c r="AK53" s="10">
        <f t="shared" si="40"/>
        <v>32.651139140623989</v>
      </c>
      <c r="AL53" s="10">
        <f t="shared" si="40"/>
        <v>32.556262999112278</v>
      </c>
      <c r="AM53" s="10">
        <f t="shared" si="40"/>
        <v>32.615141534060136</v>
      </c>
      <c r="AN53" s="10">
        <f t="shared" si="40"/>
        <v>42.021451030875227</v>
      </c>
      <c r="AO53" s="10">
        <f t="shared" si="40"/>
        <v>27.359925254543647</v>
      </c>
      <c r="AP53" s="10">
        <f t="shared" si="40"/>
        <v>29.75672596983059</v>
      </c>
      <c r="AQ53" s="10">
        <f t="shared" si="40"/>
        <v>29.829097610449473</v>
      </c>
      <c r="AR53" s="10">
        <f t="shared" si="40"/>
        <v>30.024711716079981</v>
      </c>
      <c r="AS53" s="10">
        <f t="shared" si="40"/>
        <v>40.452023771319098</v>
      </c>
      <c r="AT53" s="10">
        <f t="shared" si="40"/>
        <v>31.877198066054689</v>
      </c>
      <c r="AU53" s="10">
        <f t="shared" si="40"/>
        <v>27.427215952857281</v>
      </c>
      <c r="AV53" s="10">
        <f t="shared" si="40"/>
        <v>26.621367572620493</v>
      </c>
      <c r="AW53" s="10">
        <f t="shared" si="40"/>
        <v>30.868407275772025</v>
      </c>
      <c r="AX53" s="10">
        <f t="shared" si="40"/>
        <v>39.793488902965059</v>
      </c>
      <c r="AY53" s="10">
        <f t="shared" si="40"/>
        <v>29.440281655443158</v>
      </c>
      <c r="AZ53" s="10">
        <f t="shared" si="40"/>
        <v>32.52870043740765</v>
      </c>
      <c r="BA53" s="10">
        <f t="shared" si="40"/>
        <v>33.831268719175675</v>
      </c>
      <c r="BB53" s="10">
        <f t="shared" si="40"/>
        <v>35.915701655222712</v>
      </c>
      <c r="BC53" s="10">
        <f t="shared" si="40"/>
        <v>28.201486660565866</v>
      </c>
      <c r="BD53" s="10">
        <f t="shared" si="40"/>
        <v>34.834173837861599</v>
      </c>
      <c r="BE53" s="10">
        <f t="shared" si="40"/>
        <v>37.409249337371655</v>
      </c>
      <c r="BF53" s="10">
        <f t="shared" si="40"/>
        <v>28.145913850008604</v>
      </c>
      <c r="BG53" s="10">
        <f t="shared" si="40"/>
        <v>27.716511137203337</v>
      </c>
      <c r="BH53" s="10">
        <f t="shared" si="40"/>
        <v>26.486277504535767</v>
      </c>
      <c r="BI53" s="10">
        <f t="shared" si="40"/>
        <v>21.896984178500109</v>
      </c>
      <c r="BJ53" s="10">
        <f t="shared" si="40"/>
        <v>25.599864672154077</v>
      </c>
      <c r="BK53" s="10">
        <f t="shared" si="40"/>
        <v>15.778468986236676</v>
      </c>
      <c r="BL53" s="10">
        <f t="shared" si="40"/>
        <v>19.91660704707958</v>
      </c>
      <c r="BM53" s="10">
        <f t="shared" si="40"/>
        <v>22.102360351280314</v>
      </c>
      <c r="BN53" s="10">
        <f t="shared" si="40"/>
        <v>28.228531884555359</v>
      </c>
      <c r="BO53" s="10">
        <f t="shared" ref="BO53:CN53" si="41">(BO21/BO31)*100</f>
        <v>30.880590342024977</v>
      </c>
      <c r="BP53" s="10">
        <f t="shared" si="41"/>
        <v>42.693529821711266</v>
      </c>
      <c r="BQ53" s="10">
        <f t="shared" si="41"/>
        <v>32.816344932676984</v>
      </c>
      <c r="BR53" s="10">
        <f t="shared" si="41"/>
        <v>36.349689125142213</v>
      </c>
      <c r="BS53" s="10">
        <f t="shared" si="41"/>
        <v>50.321000047006038</v>
      </c>
      <c r="BT53" s="10">
        <f t="shared" si="41"/>
        <v>39.091783567289951</v>
      </c>
      <c r="BU53" s="10">
        <f t="shared" si="41"/>
        <v>34.116848068837982</v>
      </c>
      <c r="BV53" s="10">
        <f t="shared" si="41"/>
        <v>42.892829320238363</v>
      </c>
      <c r="BW53" s="10">
        <f t="shared" si="41"/>
        <v>36.237926339980419</v>
      </c>
      <c r="BX53" s="10">
        <f t="shared" si="41"/>
        <v>34.735899337482245</v>
      </c>
      <c r="BY53" s="10">
        <f t="shared" si="41"/>
        <v>31.418191425422435</v>
      </c>
      <c r="BZ53" s="10">
        <f t="shared" si="41"/>
        <v>39.868924682670084</v>
      </c>
      <c r="CA53" s="10">
        <f t="shared" si="41"/>
        <v>33.648401052553588</v>
      </c>
      <c r="CB53" s="10">
        <f t="shared" si="41"/>
        <v>36.850492712799557</v>
      </c>
      <c r="CC53" s="10">
        <f t="shared" si="41"/>
        <v>35.348957279074099</v>
      </c>
      <c r="CD53" s="10">
        <f t="shared" si="41"/>
        <v>35.761308365235379</v>
      </c>
      <c r="CE53" s="10">
        <f t="shared" si="41"/>
        <v>34.780081871540368</v>
      </c>
      <c r="CF53" s="10">
        <f t="shared" si="41"/>
        <v>28.699982012340353</v>
      </c>
      <c r="CG53" s="10">
        <f t="shared" si="41"/>
        <v>33.658610767226556</v>
      </c>
      <c r="CH53" s="10">
        <f t="shared" si="41"/>
        <v>36.535318855627331</v>
      </c>
      <c r="CI53" s="10">
        <f t="shared" si="41"/>
        <v>29.975606558624008</v>
      </c>
      <c r="CJ53" s="10">
        <f t="shared" si="41"/>
        <v>30.693972218785692</v>
      </c>
      <c r="CK53" s="10">
        <f t="shared" si="41"/>
        <v>39.125430111248619</v>
      </c>
      <c r="CL53" s="10">
        <f t="shared" si="41"/>
        <v>32.233741584297256</v>
      </c>
      <c r="CM53" s="10">
        <f t="shared" si="41"/>
        <v>32.218194063840315</v>
      </c>
      <c r="CN53" s="10">
        <f t="shared" si="41"/>
        <v>29.259219317435804</v>
      </c>
      <c r="CO53" s="10"/>
    </row>
    <row r="54" spans="1:93" s="12" customFormat="1" x14ac:dyDescent="0.2">
      <c r="A54" s="9" t="s">
        <v>19</v>
      </c>
      <c r="B54" s="10">
        <f>(B22/B31)*100</f>
        <v>259.96276253216467</v>
      </c>
      <c r="C54" s="10">
        <f t="shared" ref="C54:BN54" si="42">(C22/C31)*100</f>
        <v>233.88663334859808</v>
      </c>
      <c r="D54" s="10">
        <f t="shared" si="42"/>
        <v>207.2377922392576</v>
      </c>
      <c r="E54" s="10">
        <f t="shared" si="42"/>
        <v>223.11485897554442</v>
      </c>
      <c r="F54" s="10">
        <f t="shared" si="42"/>
        <v>221.41155699959606</v>
      </c>
      <c r="G54" s="10">
        <f t="shared" si="42"/>
        <v>267.95607416964845</v>
      </c>
      <c r="H54" s="10">
        <f t="shared" si="42"/>
        <v>217.33790771126357</v>
      </c>
      <c r="I54" s="10">
        <f t="shared" si="42"/>
        <v>244.98311156110583</v>
      </c>
      <c r="J54" s="10">
        <f t="shared" si="42"/>
        <v>219.9626432047273</v>
      </c>
      <c r="K54" s="10">
        <f t="shared" si="42"/>
        <v>216.68579034068122</v>
      </c>
      <c r="L54" s="10">
        <f t="shared" si="42"/>
        <v>226.66331888565742</v>
      </c>
      <c r="M54" s="10">
        <f t="shared" si="42"/>
        <v>224.61916666490262</v>
      </c>
      <c r="N54" s="10">
        <f t="shared" si="42"/>
        <v>211.31360152972488</v>
      </c>
      <c r="O54" s="10">
        <f t="shared" si="42"/>
        <v>202.86066033970764</v>
      </c>
      <c r="P54" s="10">
        <f t="shared" si="42"/>
        <v>163.7007182095326</v>
      </c>
      <c r="Q54" s="10">
        <f t="shared" si="42"/>
        <v>107.62458794747782</v>
      </c>
      <c r="R54" s="10">
        <f t="shared" si="42"/>
        <v>123.13410204290957</v>
      </c>
      <c r="S54" s="10">
        <f t="shared" si="42"/>
        <v>185.50888302091661</v>
      </c>
      <c r="T54" s="10">
        <f t="shared" si="42"/>
        <v>213.68281792825991</v>
      </c>
      <c r="U54" s="10">
        <f t="shared" si="42"/>
        <v>212.20352740969645</v>
      </c>
      <c r="V54" s="10">
        <f t="shared" si="42"/>
        <v>226.26750220053219</v>
      </c>
      <c r="W54" s="10">
        <f t="shared" si="42"/>
        <v>200.41873229215614</v>
      </c>
      <c r="X54" s="10">
        <f t="shared" si="42"/>
        <v>228.03015785355603</v>
      </c>
      <c r="Y54" s="10">
        <f t="shared" si="42"/>
        <v>218.79711601404156</v>
      </c>
      <c r="Z54" s="10">
        <f t="shared" si="42"/>
        <v>226.1902716041634</v>
      </c>
      <c r="AA54" s="10">
        <f t="shared" si="42"/>
        <v>210.13827987577534</v>
      </c>
      <c r="AB54" s="10">
        <f t="shared" si="42"/>
        <v>241.96902853333034</v>
      </c>
      <c r="AC54" s="10">
        <f t="shared" si="42"/>
        <v>225.71130229606374</v>
      </c>
      <c r="AD54" s="10">
        <f t="shared" si="42"/>
        <v>229.84692516934234</v>
      </c>
      <c r="AE54" s="10">
        <f t="shared" si="42"/>
        <v>225.57463747782541</v>
      </c>
      <c r="AF54" s="10">
        <f t="shared" si="42"/>
        <v>241.49029098048237</v>
      </c>
      <c r="AG54" s="10">
        <f t="shared" si="42"/>
        <v>250.14194910522102</v>
      </c>
      <c r="AH54" s="10">
        <f t="shared" si="42"/>
        <v>260.50110426401829</v>
      </c>
      <c r="AI54" s="10">
        <f t="shared" si="42"/>
        <v>223.64911031325937</v>
      </c>
      <c r="AJ54" s="10">
        <f t="shared" si="42"/>
        <v>265.92281515457501</v>
      </c>
      <c r="AK54" s="10">
        <f t="shared" si="42"/>
        <v>245.19728907259329</v>
      </c>
      <c r="AL54" s="10">
        <f t="shared" si="42"/>
        <v>229.91853154140517</v>
      </c>
      <c r="AM54" s="10">
        <f t="shared" si="42"/>
        <v>221.96468425050057</v>
      </c>
      <c r="AN54" s="10">
        <f t="shared" si="42"/>
        <v>217.85601974745902</v>
      </c>
      <c r="AO54" s="10">
        <f t="shared" si="42"/>
        <v>232.62898326624031</v>
      </c>
      <c r="AP54" s="10">
        <f t="shared" si="42"/>
        <v>249.42939426167797</v>
      </c>
      <c r="AQ54" s="10">
        <f t="shared" si="42"/>
        <v>255.49545677969928</v>
      </c>
      <c r="AR54" s="10">
        <f t="shared" si="42"/>
        <v>238.87217188859316</v>
      </c>
      <c r="AS54" s="10">
        <f t="shared" si="42"/>
        <v>222.56938514699743</v>
      </c>
      <c r="AT54" s="10">
        <f t="shared" si="42"/>
        <v>234.55000250178952</v>
      </c>
      <c r="AU54" s="10">
        <f t="shared" si="42"/>
        <v>217.57722809043597</v>
      </c>
      <c r="AV54" s="10">
        <f t="shared" si="42"/>
        <v>215.3864428159288</v>
      </c>
      <c r="AW54" s="10">
        <f t="shared" si="42"/>
        <v>221.89297872574832</v>
      </c>
      <c r="AX54" s="10">
        <f t="shared" si="42"/>
        <v>205.93875703565897</v>
      </c>
      <c r="AY54" s="10">
        <f t="shared" si="42"/>
        <v>197.36431276584847</v>
      </c>
      <c r="AZ54" s="10">
        <f t="shared" si="42"/>
        <v>178.67226254219187</v>
      </c>
      <c r="BA54" s="10">
        <f t="shared" si="42"/>
        <v>198.16062452499295</v>
      </c>
      <c r="BB54" s="10">
        <f t="shared" si="42"/>
        <v>186.42721708340318</v>
      </c>
      <c r="BC54" s="10">
        <f t="shared" si="42"/>
        <v>202.72149549766132</v>
      </c>
      <c r="BD54" s="10">
        <f t="shared" si="42"/>
        <v>209.06242055509213</v>
      </c>
      <c r="BE54" s="10">
        <f t="shared" si="42"/>
        <v>208.08369407917647</v>
      </c>
      <c r="BF54" s="10">
        <f t="shared" si="42"/>
        <v>185.12235673520198</v>
      </c>
      <c r="BG54" s="10">
        <f t="shared" si="42"/>
        <v>174.64395921439683</v>
      </c>
      <c r="BH54" s="10">
        <f t="shared" si="42"/>
        <v>164.79852651013323</v>
      </c>
      <c r="BI54" s="10">
        <f t="shared" si="42"/>
        <v>169.43431495178777</v>
      </c>
      <c r="BJ54" s="10">
        <f t="shared" si="42"/>
        <v>129.21056284823743</v>
      </c>
      <c r="BK54" s="10">
        <f t="shared" si="42"/>
        <v>142.71347720385819</v>
      </c>
      <c r="BL54" s="10">
        <f t="shared" si="42"/>
        <v>136.88020978691634</v>
      </c>
      <c r="BM54" s="10">
        <f t="shared" si="42"/>
        <v>119.47441978718119</v>
      </c>
      <c r="BN54" s="10">
        <f t="shared" si="42"/>
        <v>157.74048722886553</v>
      </c>
      <c r="BO54" s="10">
        <f t="shared" ref="BO54:CN54" si="43">(BO22/BO31)*100</f>
        <v>171.18716529214277</v>
      </c>
      <c r="BP54" s="10">
        <f t="shared" si="43"/>
        <v>170.44400256250697</v>
      </c>
      <c r="BQ54" s="10">
        <f t="shared" si="43"/>
        <v>206.80194086643758</v>
      </c>
      <c r="BR54" s="10">
        <f t="shared" si="43"/>
        <v>185.8296841664509</v>
      </c>
      <c r="BS54" s="10">
        <f t="shared" si="43"/>
        <v>201.23191364802366</v>
      </c>
      <c r="BT54" s="10">
        <f t="shared" si="43"/>
        <v>199.95818155659811</v>
      </c>
      <c r="BU54" s="10">
        <f t="shared" si="43"/>
        <v>197.3667168897353</v>
      </c>
      <c r="BV54" s="10">
        <f t="shared" si="43"/>
        <v>223.36507159340039</v>
      </c>
      <c r="BW54" s="10">
        <f t="shared" si="43"/>
        <v>207.91400940919766</v>
      </c>
      <c r="BX54" s="10">
        <f t="shared" si="43"/>
        <v>196.61785084193752</v>
      </c>
      <c r="BY54" s="10">
        <f t="shared" si="43"/>
        <v>226.65058145330144</v>
      </c>
      <c r="BZ54" s="10">
        <f t="shared" si="43"/>
        <v>205.10742393548327</v>
      </c>
      <c r="CA54" s="10">
        <f t="shared" si="43"/>
        <v>224.23598097563041</v>
      </c>
      <c r="CB54" s="10">
        <f t="shared" si="43"/>
        <v>243.26358245974365</v>
      </c>
      <c r="CC54" s="10">
        <f t="shared" si="43"/>
        <v>258.11922039576865</v>
      </c>
      <c r="CD54" s="10">
        <f t="shared" si="43"/>
        <v>269.98615806438903</v>
      </c>
      <c r="CE54" s="10">
        <f t="shared" si="43"/>
        <v>253.53705873104821</v>
      </c>
      <c r="CF54" s="10">
        <f t="shared" si="43"/>
        <v>243.16603213534117</v>
      </c>
      <c r="CG54" s="10">
        <f t="shared" si="43"/>
        <v>220.52475793423847</v>
      </c>
      <c r="CH54" s="10">
        <f t="shared" si="43"/>
        <v>235.23333633822213</v>
      </c>
      <c r="CI54" s="10">
        <f t="shared" si="43"/>
        <v>207.58495012261511</v>
      </c>
      <c r="CJ54" s="10">
        <f t="shared" si="43"/>
        <v>196.37158622438909</v>
      </c>
      <c r="CK54" s="10">
        <f t="shared" si="43"/>
        <v>204.77985460715865</v>
      </c>
      <c r="CL54" s="10">
        <f t="shared" si="43"/>
        <v>205.46007670955456</v>
      </c>
      <c r="CM54" s="10">
        <f t="shared" si="43"/>
        <v>205.65648732819631</v>
      </c>
      <c r="CN54" s="10">
        <f t="shared" si="43"/>
        <v>0</v>
      </c>
      <c r="CO54" s="10"/>
    </row>
    <row r="55" spans="1:93" s="12" customFormat="1" x14ac:dyDescent="0.2">
      <c r="A55" s="9" t="s">
        <v>53</v>
      </c>
      <c r="B55" s="25" t="e">
        <f>(B23/B31)*100</f>
        <v>#VALUE!</v>
      </c>
      <c r="C55" s="25" t="e">
        <f t="shared" ref="C55:BN55" si="44">(C23/C31)*100</f>
        <v>#VALUE!</v>
      </c>
      <c r="D55" s="25" t="e">
        <f t="shared" si="44"/>
        <v>#VALUE!</v>
      </c>
      <c r="E55" s="25" t="e">
        <f t="shared" si="44"/>
        <v>#VALUE!</v>
      </c>
      <c r="F55" s="25" t="e">
        <f t="shared" si="44"/>
        <v>#VALUE!</v>
      </c>
      <c r="G55" s="25" t="e">
        <f t="shared" si="44"/>
        <v>#VALUE!</v>
      </c>
      <c r="H55" s="25" t="e">
        <f t="shared" si="44"/>
        <v>#VALUE!</v>
      </c>
      <c r="I55" s="25" t="e">
        <f t="shared" si="44"/>
        <v>#VALUE!</v>
      </c>
      <c r="J55" s="25" t="e">
        <f t="shared" si="44"/>
        <v>#VALUE!</v>
      </c>
      <c r="K55" s="25" t="e">
        <f t="shared" si="44"/>
        <v>#VALUE!</v>
      </c>
      <c r="L55" s="25" t="e">
        <f t="shared" si="44"/>
        <v>#VALUE!</v>
      </c>
      <c r="M55" s="25" t="e">
        <f t="shared" si="44"/>
        <v>#VALUE!</v>
      </c>
      <c r="N55" s="25" t="e">
        <f t="shared" si="44"/>
        <v>#VALUE!</v>
      </c>
      <c r="O55" s="25" t="e">
        <f t="shared" si="44"/>
        <v>#VALUE!</v>
      </c>
      <c r="P55" s="25" t="e">
        <f t="shared" si="44"/>
        <v>#VALUE!</v>
      </c>
      <c r="Q55" s="25" t="e">
        <f t="shared" si="44"/>
        <v>#VALUE!</v>
      </c>
      <c r="R55" s="25" t="e">
        <f t="shared" si="44"/>
        <v>#VALUE!</v>
      </c>
      <c r="S55" s="25" t="e">
        <f t="shared" si="44"/>
        <v>#VALUE!</v>
      </c>
      <c r="T55" s="25" t="e">
        <f t="shared" si="44"/>
        <v>#VALUE!</v>
      </c>
      <c r="U55" s="25" t="e">
        <f t="shared" si="44"/>
        <v>#VALUE!</v>
      </c>
      <c r="V55" s="25" t="e">
        <f t="shared" si="44"/>
        <v>#VALUE!</v>
      </c>
      <c r="W55" s="25" t="e">
        <f t="shared" si="44"/>
        <v>#VALUE!</v>
      </c>
      <c r="X55" s="25" t="e">
        <f t="shared" si="44"/>
        <v>#VALUE!</v>
      </c>
      <c r="Y55" s="25" t="e">
        <f t="shared" si="44"/>
        <v>#VALUE!</v>
      </c>
      <c r="Z55" s="25" t="e">
        <f t="shared" si="44"/>
        <v>#VALUE!</v>
      </c>
      <c r="AA55" s="25" t="e">
        <f t="shared" si="44"/>
        <v>#VALUE!</v>
      </c>
      <c r="AB55" s="25" t="e">
        <f t="shared" si="44"/>
        <v>#VALUE!</v>
      </c>
      <c r="AC55" s="25" t="e">
        <f t="shared" si="44"/>
        <v>#VALUE!</v>
      </c>
      <c r="AD55" s="25" t="e">
        <f t="shared" si="44"/>
        <v>#VALUE!</v>
      </c>
      <c r="AE55" s="25" t="e">
        <f t="shared" si="44"/>
        <v>#VALUE!</v>
      </c>
      <c r="AF55" s="25" t="e">
        <f t="shared" si="44"/>
        <v>#VALUE!</v>
      </c>
      <c r="AG55" s="25" t="e">
        <f t="shared" si="44"/>
        <v>#VALUE!</v>
      </c>
      <c r="AH55" s="25" t="e">
        <f t="shared" si="44"/>
        <v>#VALUE!</v>
      </c>
      <c r="AI55" s="25" t="e">
        <f t="shared" si="44"/>
        <v>#VALUE!</v>
      </c>
      <c r="AJ55" s="25" t="e">
        <f t="shared" si="44"/>
        <v>#VALUE!</v>
      </c>
      <c r="AK55" s="25" t="e">
        <f t="shared" si="44"/>
        <v>#VALUE!</v>
      </c>
      <c r="AL55" s="25" t="e">
        <f t="shared" si="44"/>
        <v>#VALUE!</v>
      </c>
      <c r="AM55" s="25" t="e">
        <f t="shared" si="44"/>
        <v>#VALUE!</v>
      </c>
      <c r="AN55" s="25" t="e">
        <f t="shared" si="44"/>
        <v>#VALUE!</v>
      </c>
      <c r="AO55" s="25" t="e">
        <f t="shared" si="44"/>
        <v>#VALUE!</v>
      </c>
      <c r="AP55" s="25" t="e">
        <f t="shared" si="44"/>
        <v>#VALUE!</v>
      </c>
      <c r="AQ55" s="25" t="e">
        <f t="shared" si="44"/>
        <v>#VALUE!</v>
      </c>
      <c r="AR55" s="25" t="e">
        <f t="shared" si="44"/>
        <v>#VALUE!</v>
      </c>
      <c r="AS55" s="25" t="e">
        <f t="shared" si="44"/>
        <v>#VALUE!</v>
      </c>
      <c r="AT55" s="25" t="e">
        <f t="shared" si="44"/>
        <v>#VALUE!</v>
      </c>
      <c r="AU55" s="25" t="e">
        <f t="shared" si="44"/>
        <v>#VALUE!</v>
      </c>
      <c r="AV55" s="25" t="e">
        <f t="shared" si="44"/>
        <v>#VALUE!</v>
      </c>
      <c r="AW55" s="25" t="e">
        <f t="shared" si="44"/>
        <v>#VALUE!</v>
      </c>
      <c r="AX55" s="25" t="e">
        <f t="shared" si="44"/>
        <v>#VALUE!</v>
      </c>
      <c r="AY55" s="25" t="e">
        <f t="shared" si="44"/>
        <v>#VALUE!</v>
      </c>
      <c r="AZ55" s="25" t="e">
        <f t="shared" si="44"/>
        <v>#VALUE!</v>
      </c>
      <c r="BA55" s="25" t="e">
        <f t="shared" si="44"/>
        <v>#VALUE!</v>
      </c>
      <c r="BB55" s="25" t="e">
        <f t="shared" si="44"/>
        <v>#VALUE!</v>
      </c>
      <c r="BC55" s="25" t="e">
        <f t="shared" si="44"/>
        <v>#VALUE!</v>
      </c>
      <c r="BD55" s="25" t="e">
        <f t="shared" si="44"/>
        <v>#VALUE!</v>
      </c>
      <c r="BE55" s="25" t="e">
        <f t="shared" si="44"/>
        <v>#VALUE!</v>
      </c>
      <c r="BF55" s="25" t="e">
        <f t="shared" si="44"/>
        <v>#VALUE!</v>
      </c>
      <c r="BG55" s="25" t="e">
        <f t="shared" si="44"/>
        <v>#VALUE!</v>
      </c>
      <c r="BH55" s="25" t="e">
        <f t="shared" si="44"/>
        <v>#VALUE!</v>
      </c>
      <c r="BI55" s="25" t="e">
        <f t="shared" si="44"/>
        <v>#VALUE!</v>
      </c>
      <c r="BJ55" s="25">
        <f t="shared" si="44"/>
        <v>16.640752726178963</v>
      </c>
      <c r="BK55" s="25">
        <f t="shared" si="44"/>
        <v>15.091229924082247</v>
      </c>
      <c r="BL55" s="25">
        <f t="shared" si="44"/>
        <v>13.717467150700339</v>
      </c>
      <c r="BM55" s="25">
        <f t="shared" si="44"/>
        <v>15.476215379157358</v>
      </c>
      <c r="BN55" s="25">
        <f t="shared" si="44"/>
        <v>14.582790786497855</v>
      </c>
      <c r="BO55" s="25">
        <f t="shared" ref="BO55:CN55" si="45">(BO23/BO31)*100</f>
        <v>15.250800982160015</v>
      </c>
      <c r="BP55" s="25">
        <f t="shared" si="45"/>
        <v>19.52744894868038</v>
      </c>
      <c r="BQ55" s="25">
        <f t="shared" si="45"/>
        <v>19.51383826871362</v>
      </c>
      <c r="BR55" s="25">
        <f t="shared" si="45"/>
        <v>18.944877421114338</v>
      </c>
      <c r="BS55" s="25">
        <f t="shared" si="45"/>
        <v>21.600234679210871</v>
      </c>
      <c r="BT55" s="25">
        <f t="shared" si="45"/>
        <v>20.663778240430794</v>
      </c>
      <c r="BU55" s="25">
        <f t="shared" si="45"/>
        <v>17.059648594961725</v>
      </c>
      <c r="BV55" s="25">
        <f t="shared" si="45"/>
        <v>19.265456413164912</v>
      </c>
      <c r="BW55" s="25">
        <f t="shared" si="45"/>
        <v>15.84299771549526</v>
      </c>
      <c r="BX55" s="25">
        <f t="shared" si="45"/>
        <v>16.85085808188887</v>
      </c>
      <c r="BY55" s="25">
        <f t="shared" si="45"/>
        <v>16.800254284035663</v>
      </c>
      <c r="BZ55" s="25">
        <f t="shared" si="45"/>
        <v>25.860209321785561</v>
      </c>
      <c r="CA55" s="25">
        <f t="shared" si="45"/>
        <v>23.231433813150844</v>
      </c>
      <c r="CB55" s="25">
        <f t="shared" si="45"/>
        <v>25.769434283214277</v>
      </c>
      <c r="CC55" s="25">
        <f t="shared" si="45"/>
        <v>26.717599029269763</v>
      </c>
      <c r="CD55" s="25">
        <f t="shared" si="45"/>
        <v>33.187800966512242</v>
      </c>
      <c r="CE55" s="25">
        <f t="shared" si="45"/>
        <v>32.897997120804199</v>
      </c>
      <c r="CF55" s="25">
        <f t="shared" si="45"/>
        <v>28.874102500141724</v>
      </c>
      <c r="CG55" s="25">
        <f t="shared" si="45"/>
        <v>19.01233803827871</v>
      </c>
      <c r="CH55" s="25">
        <f t="shared" si="45"/>
        <v>20.070112016665583</v>
      </c>
      <c r="CI55" s="25">
        <f t="shared" si="45"/>
        <v>22.62158692499332</v>
      </c>
      <c r="CJ55" s="25">
        <f t="shared" si="45"/>
        <v>15.870744141442286</v>
      </c>
      <c r="CK55" s="25">
        <f t="shared" si="45"/>
        <v>18.703955911676985</v>
      </c>
      <c r="CL55" s="25">
        <f t="shared" si="45"/>
        <v>22.087896139768223</v>
      </c>
      <c r="CM55" s="25">
        <f t="shared" si="45"/>
        <v>19.597270647290159</v>
      </c>
      <c r="CN55" s="25">
        <f t="shared" si="45"/>
        <v>24.085063401584858</v>
      </c>
      <c r="CO55" s="25"/>
    </row>
    <row r="56" spans="1:93" s="12" customFormat="1" x14ac:dyDescent="0.2">
      <c r="A56" s="9" t="s">
        <v>54</v>
      </c>
      <c r="B56" s="10">
        <f>(B24/B31)*100</f>
        <v>14.556759993270402</v>
      </c>
      <c r="C56" s="10">
        <f t="shared" ref="C56:BN56" si="46">(C24/C31)*100</f>
        <v>14.315446086177339</v>
      </c>
      <c r="D56" s="10">
        <f t="shared" si="46"/>
        <v>13.123053364025811</v>
      </c>
      <c r="E56" s="10">
        <f t="shared" si="46"/>
        <v>14.510289450870376</v>
      </c>
      <c r="F56" s="10">
        <f t="shared" si="46"/>
        <v>16.448779318219188</v>
      </c>
      <c r="G56" s="10">
        <f t="shared" si="46"/>
        <v>13.30549978495768</v>
      </c>
      <c r="H56" s="10">
        <f t="shared" si="46"/>
        <v>14.158792654038715</v>
      </c>
      <c r="I56" s="10">
        <f t="shared" si="46"/>
        <v>11.935369656317389</v>
      </c>
      <c r="J56" s="10">
        <f t="shared" si="46"/>
        <v>15.99414356222178</v>
      </c>
      <c r="K56" s="10">
        <f t="shared" si="46"/>
        <v>12.34377455916656</v>
      </c>
      <c r="L56" s="10">
        <f t="shared" si="46"/>
        <v>12.931480401206667</v>
      </c>
      <c r="M56" s="10">
        <f t="shared" si="46"/>
        <v>13.802945320454608</v>
      </c>
      <c r="N56" s="10">
        <f t="shared" si="46"/>
        <v>11.790717800337369</v>
      </c>
      <c r="O56" s="10">
        <f t="shared" si="46"/>
        <v>11.176061051997863</v>
      </c>
      <c r="P56" s="10">
        <f t="shared" si="46"/>
        <v>12.62288426664572</v>
      </c>
      <c r="Q56" s="10">
        <f t="shared" si="46"/>
        <v>6.32934389533487</v>
      </c>
      <c r="R56" s="10">
        <f t="shared" si="46"/>
        <v>8.5162212825495125</v>
      </c>
      <c r="S56" s="10">
        <f t="shared" si="46"/>
        <v>10.302368052928532</v>
      </c>
      <c r="T56" s="10">
        <f t="shared" si="46"/>
        <v>10.646228977085411</v>
      </c>
      <c r="U56" s="10">
        <f t="shared" si="46"/>
        <v>13.284975114459247</v>
      </c>
      <c r="V56" s="10">
        <f t="shared" si="46"/>
        <v>9.1726382930967478</v>
      </c>
      <c r="W56" s="10">
        <f t="shared" si="46"/>
        <v>14.738249345904572</v>
      </c>
      <c r="X56" s="10">
        <f t="shared" si="46"/>
        <v>12.413331045053772</v>
      </c>
      <c r="Y56" s="10">
        <f t="shared" si="46"/>
        <v>10.219373718846093</v>
      </c>
      <c r="Z56" s="10">
        <f t="shared" si="46"/>
        <v>12.871391208275021</v>
      </c>
      <c r="AA56" s="10">
        <f t="shared" si="46"/>
        <v>13.364479625931352</v>
      </c>
      <c r="AB56" s="10">
        <f t="shared" si="46"/>
        <v>14.349261123323078</v>
      </c>
      <c r="AC56" s="10">
        <f t="shared" si="46"/>
        <v>14.780741743144443</v>
      </c>
      <c r="AD56" s="10">
        <f t="shared" si="46"/>
        <v>13.443645785908581</v>
      </c>
      <c r="AE56" s="10">
        <f t="shared" si="46"/>
        <v>12.693111887410572</v>
      </c>
      <c r="AF56" s="10">
        <f t="shared" si="46"/>
        <v>13.006363447646018</v>
      </c>
      <c r="AG56" s="10">
        <f t="shared" si="46"/>
        <v>20.187232452876618</v>
      </c>
      <c r="AH56" s="10">
        <f t="shared" si="46"/>
        <v>15.394065990560399</v>
      </c>
      <c r="AI56" s="10">
        <f t="shared" si="46"/>
        <v>15.833496533049452</v>
      </c>
      <c r="AJ56" s="10">
        <f t="shared" si="46"/>
        <v>17.30422366604483</v>
      </c>
      <c r="AK56" s="10">
        <f t="shared" si="46"/>
        <v>14.398908447397451</v>
      </c>
      <c r="AL56" s="10">
        <f t="shared" si="46"/>
        <v>15.327094001851474</v>
      </c>
      <c r="AM56" s="10">
        <f t="shared" si="46"/>
        <v>13.511065774640171</v>
      </c>
      <c r="AN56" s="10">
        <f t="shared" si="46"/>
        <v>15.613576296718351</v>
      </c>
      <c r="AO56" s="10">
        <f t="shared" si="46"/>
        <v>17.237832988511311</v>
      </c>
      <c r="AP56" s="10">
        <f t="shared" si="46"/>
        <v>13.847340398355168</v>
      </c>
      <c r="AQ56" s="10">
        <f t="shared" si="46"/>
        <v>14.947306706019639</v>
      </c>
      <c r="AR56" s="10">
        <f t="shared" si="46"/>
        <v>14.664233468073789</v>
      </c>
      <c r="AS56" s="10">
        <f t="shared" si="46"/>
        <v>16.645615962611767</v>
      </c>
      <c r="AT56" s="10">
        <f t="shared" si="46"/>
        <v>12.313103438864742</v>
      </c>
      <c r="AU56" s="10">
        <f t="shared" si="46"/>
        <v>13.973313906013965</v>
      </c>
      <c r="AV56" s="10">
        <f t="shared" si="46"/>
        <v>16.962041258666549</v>
      </c>
      <c r="AW56" s="10">
        <f t="shared" si="46"/>
        <v>13.5009777756233</v>
      </c>
      <c r="AX56" s="10">
        <f t="shared" si="46"/>
        <v>27.251985383784756</v>
      </c>
      <c r="AY56" s="10">
        <f t="shared" si="46"/>
        <v>14.565130041565933</v>
      </c>
      <c r="AZ56" s="10">
        <f t="shared" si="46"/>
        <v>16.373377836501358</v>
      </c>
      <c r="BA56" s="10">
        <f t="shared" si="46"/>
        <v>18.355936787155507</v>
      </c>
      <c r="BB56" s="10">
        <f t="shared" si="46"/>
        <v>15.236321807993916</v>
      </c>
      <c r="BC56" s="10">
        <f t="shared" si="46"/>
        <v>13.717249534762722</v>
      </c>
      <c r="BD56" s="10">
        <f t="shared" si="46"/>
        <v>17.308052003433506</v>
      </c>
      <c r="BE56" s="10">
        <f t="shared" si="46"/>
        <v>17.120546854271463</v>
      </c>
      <c r="BF56" s="10">
        <f t="shared" si="46"/>
        <v>15.858577981436442</v>
      </c>
      <c r="BG56" s="10">
        <f t="shared" si="46"/>
        <v>14.169995691577004</v>
      </c>
      <c r="BH56" s="10">
        <f t="shared" si="46"/>
        <v>16.910017823111044</v>
      </c>
      <c r="BI56" s="10">
        <f t="shared" si="46"/>
        <v>12.892557760090154</v>
      </c>
      <c r="BJ56" s="10">
        <f t="shared" si="46"/>
        <v>10.374076844751903</v>
      </c>
      <c r="BK56" s="10">
        <f t="shared" si="46"/>
        <v>10.731947417666351</v>
      </c>
      <c r="BL56" s="10">
        <f t="shared" si="46"/>
        <v>13.110225941573647</v>
      </c>
      <c r="BM56" s="10">
        <f t="shared" si="46"/>
        <v>12.00321980236413</v>
      </c>
      <c r="BN56" s="10">
        <f t="shared" si="46"/>
        <v>11.585788866668373</v>
      </c>
      <c r="BO56" s="10">
        <f t="shared" ref="BO56:CN56" si="47">(BO24/BO31)*100</f>
        <v>15.51586007840875</v>
      </c>
      <c r="BP56" s="10">
        <f t="shared" si="47"/>
        <v>17.229736853610895</v>
      </c>
      <c r="BQ56" s="10">
        <f t="shared" si="47"/>
        <v>14.899429220227814</v>
      </c>
      <c r="BR56" s="10">
        <f t="shared" si="47"/>
        <v>17.525889049601389</v>
      </c>
      <c r="BS56" s="10">
        <f t="shared" si="47"/>
        <v>17.431358139623025</v>
      </c>
      <c r="BT56" s="10">
        <f t="shared" si="47"/>
        <v>19.833018039249481</v>
      </c>
      <c r="BU56" s="10">
        <f t="shared" si="47"/>
        <v>18.221838105304684</v>
      </c>
      <c r="BV56" s="10">
        <f t="shared" si="47"/>
        <v>21.803597425839722</v>
      </c>
      <c r="BW56" s="10">
        <f t="shared" si="47"/>
        <v>18.769318120578948</v>
      </c>
      <c r="BX56" s="10">
        <f t="shared" si="47"/>
        <v>21.803929722015301</v>
      </c>
      <c r="BY56" s="10">
        <f t="shared" si="47"/>
        <v>17.147607577066356</v>
      </c>
      <c r="BZ56" s="10">
        <f t="shared" si="47"/>
        <v>21.082945773710538</v>
      </c>
      <c r="CA56" s="10">
        <f t="shared" si="47"/>
        <v>18.4206175599282</v>
      </c>
      <c r="CB56" s="10">
        <f t="shared" si="47"/>
        <v>18.6824929495024</v>
      </c>
      <c r="CC56" s="10">
        <f t="shared" si="47"/>
        <v>20.956521518992407</v>
      </c>
      <c r="CD56" s="10">
        <f t="shared" si="47"/>
        <v>21.331442213451403</v>
      </c>
      <c r="CE56" s="10">
        <f t="shared" si="47"/>
        <v>15.446629630351946</v>
      </c>
      <c r="CF56" s="10">
        <f t="shared" si="47"/>
        <v>25.266773783793113</v>
      </c>
      <c r="CG56" s="10">
        <f t="shared" si="47"/>
        <v>17.435508779220289</v>
      </c>
      <c r="CH56" s="10">
        <f t="shared" si="47"/>
        <v>19.176331200745793</v>
      </c>
      <c r="CI56" s="10">
        <f t="shared" si="47"/>
        <v>19.326564912884731</v>
      </c>
      <c r="CJ56" s="10">
        <f t="shared" si="47"/>
        <v>16.769333559674966</v>
      </c>
      <c r="CK56" s="10">
        <f t="shared" si="47"/>
        <v>17.710480055056152</v>
      </c>
      <c r="CL56" s="10">
        <f t="shared" si="47"/>
        <v>18.64208054095727</v>
      </c>
      <c r="CM56" s="10">
        <f t="shared" si="47"/>
        <v>16.692748211940525</v>
      </c>
      <c r="CN56" s="10">
        <f t="shared" si="47"/>
        <v>16.56847471973359</v>
      </c>
      <c r="CO56" s="10"/>
    </row>
    <row r="57" spans="1:93" s="12" customFormat="1" x14ac:dyDescent="0.2">
      <c r="A57" s="9" t="s">
        <v>20</v>
      </c>
      <c r="B57" s="10">
        <f>(B25/B31)*100</f>
        <v>80.044276649819807</v>
      </c>
      <c r="C57" s="10">
        <f t="shared" ref="C57:BN57" si="48">(C25/C31)*100</f>
        <v>64.812440756065683</v>
      </c>
      <c r="D57" s="10">
        <f t="shared" si="48"/>
        <v>78.052478404483267</v>
      </c>
      <c r="E57" s="10">
        <f t="shared" si="48"/>
        <v>68.188221919843855</v>
      </c>
      <c r="F57" s="10">
        <f t="shared" si="48"/>
        <v>63.885128645150893</v>
      </c>
      <c r="G57" s="10">
        <f t="shared" si="48"/>
        <v>61.387198996173574</v>
      </c>
      <c r="H57" s="10">
        <f t="shared" si="48"/>
        <v>64.96020503787517</v>
      </c>
      <c r="I57" s="10">
        <f t="shared" si="48"/>
        <v>66.302186031584114</v>
      </c>
      <c r="J57" s="10">
        <f t="shared" si="48"/>
        <v>68.361128563218983</v>
      </c>
      <c r="K57" s="10">
        <f t="shared" si="48"/>
        <v>66.559953385806097</v>
      </c>
      <c r="L57" s="10">
        <f t="shared" si="48"/>
        <v>61.847104376833251</v>
      </c>
      <c r="M57" s="10">
        <f t="shared" si="48"/>
        <v>66.737566335807884</v>
      </c>
      <c r="N57" s="10">
        <f t="shared" si="48"/>
        <v>65.454639773191104</v>
      </c>
      <c r="O57" s="10">
        <f t="shared" si="48"/>
        <v>55.304700574296675</v>
      </c>
      <c r="P57" s="10">
        <f t="shared" si="48"/>
        <v>48.06021898108829</v>
      </c>
      <c r="Q57" s="10">
        <f t="shared" si="48"/>
        <v>40.170096957897201</v>
      </c>
      <c r="R57" s="10">
        <f t="shared" si="48"/>
        <v>37.091137526527532</v>
      </c>
      <c r="S57" s="10">
        <f t="shared" si="48"/>
        <v>47.303695207498251</v>
      </c>
      <c r="T57" s="10">
        <f t="shared" si="48"/>
        <v>59.622564071938754</v>
      </c>
      <c r="U57" s="10">
        <f t="shared" si="48"/>
        <v>63.303145522857442</v>
      </c>
      <c r="V57" s="10">
        <f t="shared" si="48"/>
        <v>61.894446580945683</v>
      </c>
      <c r="W57" s="10">
        <f t="shared" si="48"/>
        <v>67.294280105767442</v>
      </c>
      <c r="X57" s="10">
        <f t="shared" si="48"/>
        <v>68.008695462333549</v>
      </c>
      <c r="Y57" s="10">
        <f t="shared" si="48"/>
        <v>68.542378951525663</v>
      </c>
      <c r="Z57" s="10">
        <f t="shared" si="48"/>
        <v>68.991966020028045</v>
      </c>
      <c r="AA57" s="10">
        <f t="shared" si="48"/>
        <v>60.982889894303241</v>
      </c>
      <c r="AB57" s="10">
        <f t="shared" si="48"/>
        <v>66.674876687933917</v>
      </c>
      <c r="AC57" s="10">
        <f t="shared" si="48"/>
        <v>72.732234498687646</v>
      </c>
      <c r="AD57" s="10">
        <f t="shared" si="48"/>
        <v>68.738450477358796</v>
      </c>
      <c r="AE57" s="10">
        <f t="shared" si="48"/>
        <v>59.42755687545764</v>
      </c>
      <c r="AF57" s="10">
        <f t="shared" si="48"/>
        <v>63.00367316758706</v>
      </c>
      <c r="AG57" s="10">
        <f t="shared" si="48"/>
        <v>65.195527300271038</v>
      </c>
      <c r="AH57" s="10">
        <f t="shared" si="48"/>
        <v>69.05355472351016</v>
      </c>
      <c r="AI57" s="10">
        <f t="shared" si="48"/>
        <v>71.613566895676357</v>
      </c>
      <c r="AJ57" s="10">
        <f t="shared" si="48"/>
        <v>67.194169775853325</v>
      </c>
      <c r="AK57" s="10">
        <f t="shared" si="48"/>
        <v>68.513007215118705</v>
      </c>
      <c r="AL57" s="10">
        <f t="shared" si="48"/>
        <v>70.179807107627582</v>
      </c>
      <c r="AM57" s="10">
        <f t="shared" si="48"/>
        <v>59.243307393776249</v>
      </c>
      <c r="AN57" s="10">
        <f t="shared" si="48"/>
        <v>61.847998525567235</v>
      </c>
      <c r="AO57" s="10">
        <f t="shared" si="48"/>
        <v>66.999545429121738</v>
      </c>
      <c r="AP57" s="10">
        <f t="shared" si="48"/>
        <v>65.683253601222603</v>
      </c>
      <c r="AQ57" s="10">
        <f t="shared" si="48"/>
        <v>66.995673165556113</v>
      </c>
      <c r="AR57" s="10">
        <f t="shared" si="48"/>
        <v>70.728506588115678</v>
      </c>
      <c r="AS57" s="10">
        <f t="shared" si="48"/>
        <v>68.359206178339107</v>
      </c>
      <c r="AT57" s="10">
        <f t="shared" si="48"/>
        <v>62.529835597280538</v>
      </c>
      <c r="AU57" s="10">
        <f t="shared" si="48"/>
        <v>68.561819703588782</v>
      </c>
      <c r="AV57" s="10">
        <f t="shared" si="48"/>
        <v>63.283660374285155</v>
      </c>
      <c r="AW57" s="10">
        <f t="shared" si="48"/>
        <v>63.229704628334083</v>
      </c>
      <c r="AX57" s="10">
        <f t="shared" si="48"/>
        <v>65.936603548357866</v>
      </c>
      <c r="AY57" s="10">
        <f t="shared" si="48"/>
        <v>58.283205911613159</v>
      </c>
      <c r="AZ57" s="10">
        <f t="shared" si="48"/>
        <v>59.919263957885839</v>
      </c>
      <c r="BA57" s="10">
        <f t="shared" si="48"/>
        <v>66.68441186157203</v>
      </c>
      <c r="BB57" s="10">
        <f t="shared" si="48"/>
        <v>64.714475397862955</v>
      </c>
      <c r="BC57" s="10">
        <f t="shared" si="48"/>
        <v>63.050098984476875</v>
      </c>
      <c r="BD57" s="10">
        <f t="shared" si="48"/>
        <v>67.115445998693772</v>
      </c>
      <c r="BE57" s="10">
        <f t="shared" si="48"/>
        <v>63.048326376697702</v>
      </c>
      <c r="BF57" s="10">
        <f t="shared" si="48"/>
        <v>60.259422891216985</v>
      </c>
      <c r="BG57" s="10">
        <f t="shared" si="48"/>
        <v>58.8625024987251</v>
      </c>
      <c r="BH57" s="10">
        <f t="shared" si="48"/>
        <v>57.484907793959707</v>
      </c>
      <c r="BI57" s="10">
        <f t="shared" si="48"/>
        <v>50.48888401825409</v>
      </c>
      <c r="BJ57" s="10">
        <f t="shared" si="48"/>
        <v>52.280126745017832</v>
      </c>
      <c r="BK57" s="10">
        <f t="shared" si="48"/>
        <v>50.169618077511522</v>
      </c>
      <c r="BL57" s="10">
        <f t="shared" si="48"/>
        <v>55.375698786183079</v>
      </c>
      <c r="BM57" s="10">
        <f t="shared" si="48"/>
        <v>59.066482693272789</v>
      </c>
      <c r="BN57" s="10">
        <f t="shared" si="48"/>
        <v>65.242155820081493</v>
      </c>
      <c r="BO57" s="10">
        <f t="shared" ref="BO57:CN57" si="49">(BO25/BO31)*100</f>
        <v>76.256839897322209</v>
      </c>
      <c r="BP57" s="10">
        <f t="shared" si="49"/>
        <v>75.495997705965749</v>
      </c>
      <c r="BQ57" s="10">
        <f t="shared" si="49"/>
        <v>80.071836859738127</v>
      </c>
      <c r="BR57" s="10">
        <f t="shared" si="49"/>
        <v>86.54902059563517</v>
      </c>
      <c r="BS57" s="10">
        <f t="shared" si="49"/>
        <v>81.131617025985747</v>
      </c>
      <c r="BT57" s="10">
        <f t="shared" si="49"/>
        <v>90.780884945432462</v>
      </c>
      <c r="BU57" s="10">
        <f t="shared" si="49"/>
        <v>92.492218470023587</v>
      </c>
      <c r="BV57" s="10">
        <f t="shared" si="49"/>
        <v>99.247317384563175</v>
      </c>
      <c r="BW57" s="10">
        <f t="shared" si="49"/>
        <v>105.59261306669259</v>
      </c>
      <c r="BX57" s="10">
        <f t="shared" si="49"/>
        <v>106.77567007582785</v>
      </c>
      <c r="BY57" s="10">
        <f t="shared" si="49"/>
        <v>112.72904463444044</v>
      </c>
      <c r="BZ57" s="10">
        <f t="shared" si="49"/>
        <v>122.59955164773839</v>
      </c>
      <c r="CA57" s="10">
        <f t="shared" si="49"/>
        <v>115.23482058706094</v>
      </c>
      <c r="CB57" s="10">
        <f t="shared" si="49"/>
        <v>110.26310513118777</v>
      </c>
      <c r="CC57" s="10">
        <f t="shared" si="49"/>
        <v>127.51227567208838</v>
      </c>
      <c r="CD57" s="10">
        <f t="shared" si="49"/>
        <v>113.53408154919877</v>
      </c>
      <c r="CE57" s="10">
        <f t="shared" si="49"/>
        <v>105.8769065962139</v>
      </c>
      <c r="CF57" s="10">
        <f t="shared" si="49"/>
        <v>109.9031887377414</v>
      </c>
      <c r="CG57" s="10">
        <f t="shared" si="49"/>
        <v>100.23561747535896</v>
      </c>
      <c r="CH57" s="10">
        <f t="shared" si="49"/>
        <v>120.29402485495362</v>
      </c>
      <c r="CI57" s="10">
        <f t="shared" si="49"/>
        <v>101.19836654113577</v>
      </c>
      <c r="CJ57" s="10">
        <f t="shared" si="49"/>
        <v>102.52563132992825</v>
      </c>
      <c r="CK57" s="10">
        <f t="shared" si="49"/>
        <v>99.252153595469068</v>
      </c>
      <c r="CL57" s="10">
        <f t="shared" si="49"/>
        <v>101.68446150835739</v>
      </c>
      <c r="CM57" s="10">
        <f t="shared" si="49"/>
        <v>100.58234805196975</v>
      </c>
      <c r="CN57" s="10">
        <f t="shared" si="49"/>
        <v>96.582135617191739</v>
      </c>
      <c r="CO57" s="10"/>
    </row>
    <row r="58" spans="1:93" s="12" customFormat="1" ht="12" thickBot="1" x14ac:dyDescent="0.25">
      <c r="A58" s="13" t="s">
        <v>1</v>
      </c>
      <c r="B58" s="10">
        <f>(B26/B31)*100</f>
        <v>3450.6857701462104</v>
      </c>
      <c r="C58" s="10">
        <f t="shared" ref="C58:BN58" si="50">(C26/C31)*100</f>
        <v>3121.6354273009265</v>
      </c>
      <c r="D58" s="10">
        <f t="shared" si="50"/>
        <v>2857.8581817135705</v>
      </c>
      <c r="E58" s="10">
        <f t="shared" si="50"/>
        <v>2933.4829669699889</v>
      </c>
      <c r="F58" s="10">
        <f t="shared" si="50"/>
        <v>3077.1466946305291</v>
      </c>
      <c r="G58" s="10">
        <f t="shared" si="50"/>
        <v>3157.3070893157219</v>
      </c>
      <c r="H58" s="10">
        <f t="shared" si="50"/>
        <v>2931.3514637647831</v>
      </c>
      <c r="I58" s="10">
        <f t="shared" si="50"/>
        <v>3253.8286451019721</v>
      </c>
      <c r="J58" s="10">
        <f t="shared" si="50"/>
        <v>3073.9625227365723</v>
      </c>
      <c r="K58" s="10">
        <f t="shared" si="50"/>
        <v>2967.1351985319734</v>
      </c>
      <c r="L58" s="10">
        <f t="shared" si="50"/>
        <v>3061.8188119610936</v>
      </c>
      <c r="M58" s="10">
        <f t="shared" si="50"/>
        <v>2813.1750551819368</v>
      </c>
      <c r="N58" s="10">
        <f t="shared" si="50"/>
        <v>2971.8626884217251</v>
      </c>
      <c r="O58" s="10">
        <f t="shared" si="50"/>
        <v>2614.4703071168146</v>
      </c>
      <c r="P58" s="10">
        <f t="shared" si="50"/>
        <v>2279.2072215223952</v>
      </c>
      <c r="Q58" s="10">
        <f t="shared" si="50"/>
        <v>1652.4437286404191</v>
      </c>
      <c r="R58" s="10">
        <f t="shared" si="50"/>
        <v>1563.9308013306718</v>
      </c>
      <c r="S58" s="10">
        <f t="shared" si="50"/>
        <v>2135.3482925567237</v>
      </c>
      <c r="T58" s="10">
        <f t="shared" si="50"/>
        <v>2399.1715098808236</v>
      </c>
      <c r="U58" s="10">
        <f t="shared" si="50"/>
        <v>2751.4946108385602</v>
      </c>
      <c r="V58" s="10">
        <f t="shared" si="50"/>
        <v>2722.4017494165805</v>
      </c>
      <c r="W58" s="10">
        <f t="shared" si="50"/>
        <v>2925.2525939381126</v>
      </c>
      <c r="X58" s="10">
        <f t="shared" si="50"/>
        <v>3129.4019405607928</v>
      </c>
      <c r="Y58" s="10">
        <f t="shared" si="50"/>
        <v>3020.7886247008805</v>
      </c>
      <c r="Z58" s="10">
        <f t="shared" si="50"/>
        <v>3009.2919845925517</v>
      </c>
      <c r="AA58" s="10">
        <f t="shared" si="50"/>
        <v>3109.3460840836869</v>
      </c>
      <c r="AB58" s="10">
        <f t="shared" si="50"/>
        <v>3106.1745789310794</v>
      </c>
      <c r="AC58" s="10">
        <f t="shared" si="50"/>
        <v>3539.7670693064683</v>
      </c>
      <c r="AD58" s="10">
        <f t="shared" si="50"/>
        <v>3246.5063944978406</v>
      </c>
      <c r="AE58" s="10">
        <f t="shared" si="50"/>
        <v>3021.1504033065016</v>
      </c>
      <c r="AF58" s="10">
        <f t="shared" si="50"/>
        <v>3352.104914112404</v>
      </c>
      <c r="AG58" s="10">
        <f t="shared" si="50"/>
        <v>3644.5733819173497</v>
      </c>
      <c r="AH58" s="10">
        <f t="shared" si="50"/>
        <v>3456.4796159560474</v>
      </c>
      <c r="AI58" s="10">
        <f t="shared" si="50"/>
        <v>3458.6134536618219</v>
      </c>
      <c r="AJ58" s="10">
        <f t="shared" si="50"/>
        <v>3523.1873440860559</v>
      </c>
      <c r="AK58" s="10">
        <f t="shared" si="50"/>
        <v>3568.9038052458754</v>
      </c>
      <c r="AL58" s="10">
        <f t="shared" si="50"/>
        <v>3535.5493765053957</v>
      </c>
      <c r="AM58" s="10">
        <f t="shared" si="50"/>
        <v>3151.0372340958597</v>
      </c>
      <c r="AN58" s="10">
        <f t="shared" si="50"/>
        <v>3034.6003154218165</v>
      </c>
      <c r="AO58" s="10">
        <f t="shared" si="50"/>
        <v>3589.2258548854661</v>
      </c>
      <c r="AP58" s="10">
        <f t="shared" si="50"/>
        <v>3439.5143113270046</v>
      </c>
      <c r="AQ58" s="10">
        <f t="shared" si="50"/>
        <v>3401.2561609202103</v>
      </c>
      <c r="AR58" s="10">
        <f t="shared" si="50"/>
        <v>3502.2370329881278</v>
      </c>
      <c r="AS58" s="10">
        <f t="shared" si="50"/>
        <v>3643.5713344834057</v>
      </c>
      <c r="AT58" s="10">
        <f t="shared" si="50"/>
        <v>3419.6164210908719</v>
      </c>
      <c r="AU58" s="10">
        <f t="shared" si="50"/>
        <v>3297.1259707554927</v>
      </c>
      <c r="AV58" s="10">
        <f t="shared" si="50"/>
        <v>3156.3791998841443</v>
      </c>
      <c r="AW58" s="10">
        <f t="shared" si="50"/>
        <v>3063.1645845216872</v>
      </c>
      <c r="AX58" s="10">
        <f t="shared" si="50"/>
        <v>3509.9973936901642</v>
      </c>
      <c r="AY58" s="10">
        <f t="shared" si="50"/>
        <v>3094.6280438019812</v>
      </c>
      <c r="AZ58" s="10">
        <f t="shared" si="50"/>
        <v>2804.6490089099734</v>
      </c>
      <c r="BA58" s="10">
        <f t="shared" si="50"/>
        <v>3045.9441836157512</v>
      </c>
      <c r="BB58" s="10">
        <f t="shared" si="50"/>
        <v>2774.4045174915923</v>
      </c>
      <c r="BC58" s="10">
        <f t="shared" si="50"/>
        <v>2894.1999766993845</v>
      </c>
      <c r="BD58" s="10">
        <f t="shared" si="50"/>
        <v>3045.0374716286456</v>
      </c>
      <c r="BE58" s="10">
        <f t="shared" si="50"/>
        <v>3042.9798589774641</v>
      </c>
      <c r="BF58" s="10">
        <f t="shared" si="50"/>
        <v>2881.8057565524368</v>
      </c>
      <c r="BG58" s="10">
        <f t="shared" si="50"/>
        <v>2815.1419865154967</v>
      </c>
      <c r="BH58" s="10">
        <f t="shared" si="50"/>
        <v>2811.5140801856401</v>
      </c>
      <c r="BI58" s="10">
        <f t="shared" si="50"/>
        <v>2356.2147429463362</v>
      </c>
      <c r="BJ58" s="10">
        <f t="shared" si="50"/>
        <v>2214.8622279889983</v>
      </c>
      <c r="BK58" s="10">
        <f t="shared" si="50"/>
        <v>2064.9437147354233</v>
      </c>
      <c r="BL58" s="10">
        <f t="shared" si="50"/>
        <v>2230.6369476967625</v>
      </c>
      <c r="BM58" s="10">
        <f t="shared" si="50"/>
        <v>2256.1752504265228</v>
      </c>
      <c r="BN58" s="10">
        <f t="shared" si="50"/>
        <v>2572.5945546327357</v>
      </c>
      <c r="BO58" s="10">
        <f t="shared" ref="BO58:CN58" si="51">(BO26/BO31)*100</f>
        <v>2897.1150302604133</v>
      </c>
      <c r="BP58" s="10">
        <f t="shared" si="51"/>
        <v>2854.1358169897803</v>
      </c>
      <c r="BQ58" s="10">
        <f t="shared" si="51"/>
        <v>3278.4329922643915</v>
      </c>
      <c r="BR58" s="10">
        <f t="shared" si="51"/>
        <v>3284.8350650670804</v>
      </c>
      <c r="BS58" s="10">
        <f t="shared" si="51"/>
        <v>3272.5673544183528</v>
      </c>
      <c r="BT58" s="10">
        <f t="shared" si="51"/>
        <v>3488.4620669547871</v>
      </c>
      <c r="BU58" s="10">
        <f t="shared" si="51"/>
        <v>3305.5386982288496</v>
      </c>
      <c r="BV58" s="10">
        <f t="shared" si="51"/>
        <v>3746.6812976679662</v>
      </c>
      <c r="BW58" s="10">
        <f t="shared" si="51"/>
        <v>3346.3275229455994</v>
      </c>
      <c r="BX58" s="10">
        <f t="shared" si="51"/>
        <v>3286.3998565624674</v>
      </c>
      <c r="BY58" s="10">
        <f t="shared" si="51"/>
        <v>3592.2041834812212</v>
      </c>
      <c r="BZ58" s="10">
        <f t="shared" si="51"/>
        <v>3707.6781355298594</v>
      </c>
      <c r="CA58" s="10">
        <f t="shared" si="51"/>
        <v>3713.2883657694415</v>
      </c>
      <c r="CB58" s="10">
        <f t="shared" si="51"/>
        <v>3868.1565984692115</v>
      </c>
      <c r="CC58" s="10">
        <f t="shared" si="51"/>
        <v>4049.5128992417376</v>
      </c>
      <c r="CD58" s="10">
        <f t="shared" si="51"/>
        <v>4040.914908346489</v>
      </c>
      <c r="CE58" s="10">
        <f t="shared" si="51"/>
        <v>3828.6225342328157</v>
      </c>
      <c r="CF58" s="10">
        <f t="shared" si="51"/>
        <v>3758.0558442668603</v>
      </c>
      <c r="CG58" s="10">
        <f t="shared" si="51"/>
        <v>3437.4175942051929</v>
      </c>
      <c r="CH58" s="10">
        <f t="shared" si="51"/>
        <v>3961.5801387601559</v>
      </c>
      <c r="CI58" s="10">
        <f t="shared" si="51"/>
        <v>3279.0063475420588</v>
      </c>
      <c r="CJ58" s="10">
        <f t="shared" si="51"/>
        <v>3286.9896153437203</v>
      </c>
      <c r="CK58" s="10">
        <f t="shared" si="51"/>
        <v>3343.8247862241765</v>
      </c>
      <c r="CL58" s="10">
        <f t="shared" si="51"/>
        <v>3318.7271856340162</v>
      </c>
      <c r="CM58" s="10">
        <f t="shared" si="51"/>
        <v>3183.6232477247972</v>
      </c>
      <c r="CN58" s="10">
        <f t="shared" si="51"/>
        <v>3062.6684267628666</v>
      </c>
      <c r="CO58" s="10"/>
    </row>
    <row r="59" spans="1:93" ht="12" thickTop="1" x14ac:dyDescent="0.25"/>
    <row r="60" spans="1:93" x14ac:dyDescent="0.25">
      <c r="N60" s="5">
        <v>43831</v>
      </c>
      <c r="O60" s="6">
        <v>43862</v>
      </c>
      <c r="P60" s="6">
        <v>43891</v>
      </c>
      <c r="Q60" s="6">
        <v>43922</v>
      </c>
      <c r="R60" s="6">
        <v>43952</v>
      </c>
      <c r="S60" s="6">
        <v>43983</v>
      </c>
      <c r="T60" s="6">
        <v>44013</v>
      </c>
      <c r="U60" s="6">
        <v>44044</v>
      </c>
      <c r="V60" s="6">
        <v>44075</v>
      </c>
      <c r="W60" s="6">
        <v>44105</v>
      </c>
      <c r="X60" s="6">
        <v>44136</v>
      </c>
      <c r="Y60" s="7">
        <v>44166</v>
      </c>
      <c r="Z60" s="5">
        <v>44197</v>
      </c>
      <c r="AA60" s="6">
        <v>44228</v>
      </c>
      <c r="AB60" s="6">
        <v>44256</v>
      </c>
      <c r="AC60" s="6">
        <v>44287</v>
      </c>
      <c r="AD60" s="6">
        <v>44317</v>
      </c>
      <c r="AE60" s="6">
        <v>44348</v>
      </c>
      <c r="AF60" s="6">
        <v>44378</v>
      </c>
      <c r="AG60" s="6">
        <v>44409</v>
      </c>
      <c r="AH60" s="6">
        <v>44440</v>
      </c>
      <c r="AI60" s="6">
        <v>44470</v>
      </c>
      <c r="AJ60" s="6">
        <v>44501</v>
      </c>
      <c r="AK60" s="7">
        <v>44531</v>
      </c>
      <c r="AL60" s="5">
        <v>44562</v>
      </c>
      <c r="AM60" s="6">
        <v>44593</v>
      </c>
      <c r="AN60" s="6">
        <v>44621</v>
      </c>
      <c r="AO60" s="6">
        <v>44652</v>
      </c>
      <c r="AP60" s="6">
        <v>44682</v>
      </c>
      <c r="AQ60" s="6">
        <v>44713</v>
      </c>
      <c r="AR60" s="6">
        <v>44743</v>
      </c>
      <c r="AS60" s="6">
        <v>44774</v>
      </c>
      <c r="AT60" s="6">
        <v>44805</v>
      </c>
      <c r="AU60" s="6">
        <v>44835</v>
      </c>
      <c r="AV60" s="6">
        <v>44866</v>
      </c>
      <c r="AW60" s="7">
        <v>44896</v>
      </c>
      <c r="AX60" s="5">
        <v>44927</v>
      </c>
      <c r="AY60" s="6">
        <v>44958</v>
      </c>
      <c r="AZ60" s="6">
        <v>44986</v>
      </c>
      <c r="BA60" s="6">
        <v>45017</v>
      </c>
      <c r="BB60" s="6">
        <v>45047</v>
      </c>
      <c r="BC60" s="6">
        <v>45078</v>
      </c>
      <c r="BD60" s="6">
        <v>45108</v>
      </c>
      <c r="BE60" s="6">
        <v>45139</v>
      </c>
      <c r="BF60" s="6">
        <v>45170</v>
      </c>
      <c r="BG60" s="6">
        <v>45200</v>
      </c>
      <c r="BH60" s="6">
        <v>45231</v>
      </c>
      <c r="BI60" s="7">
        <v>45261</v>
      </c>
      <c r="BJ60" s="5">
        <v>45292</v>
      </c>
      <c r="BK60" s="6">
        <v>45323</v>
      </c>
      <c r="BL60" s="6">
        <v>45352</v>
      </c>
      <c r="BM60" s="6">
        <v>45383</v>
      </c>
      <c r="BN60" s="6">
        <v>45413</v>
      </c>
      <c r="BO60" s="6">
        <v>45444</v>
      </c>
      <c r="BP60" s="6">
        <v>45474</v>
      </c>
      <c r="BQ60" s="6">
        <v>45505</v>
      </c>
      <c r="BR60" s="6">
        <v>45536</v>
      </c>
      <c r="BS60" s="6">
        <v>45566</v>
      </c>
      <c r="BT60" s="6">
        <v>45597</v>
      </c>
      <c r="BU60" s="7">
        <v>45627</v>
      </c>
      <c r="BV60" s="5">
        <v>45658</v>
      </c>
      <c r="BW60" s="6">
        <v>45689</v>
      </c>
      <c r="BX60" s="6">
        <v>45717</v>
      </c>
      <c r="BY60" s="6">
        <v>45748</v>
      </c>
      <c r="BZ60" s="6">
        <v>45778</v>
      </c>
      <c r="CA60" s="6">
        <v>45809</v>
      </c>
      <c r="CB60" s="6">
        <v>45839</v>
      </c>
      <c r="CC60" s="6">
        <v>45870</v>
      </c>
      <c r="CD60" s="6">
        <v>45901</v>
      </c>
      <c r="CE60" s="6">
        <v>45931</v>
      </c>
      <c r="CF60" s="6">
        <v>45962</v>
      </c>
      <c r="CG60" s="7">
        <v>45992</v>
      </c>
      <c r="CH60" s="5">
        <v>46023</v>
      </c>
      <c r="CI60" s="6">
        <v>46054</v>
      </c>
      <c r="CJ60" s="6">
        <v>46082</v>
      </c>
      <c r="CK60" s="6">
        <v>46113</v>
      </c>
      <c r="CL60" s="6">
        <v>46143</v>
      </c>
      <c r="CM60" s="6">
        <v>46174</v>
      </c>
      <c r="CN60" s="6">
        <v>46204</v>
      </c>
      <c r="CO60" s="6"/>
    </row>
    <row r="61" spans="1:93" x14ac:dyDescent="0.2">
      <c r="N61" s="26">
        <f>N34/B34-1</f>
        <v>-4.4532539094897516E-2</v>
      </c>
      <c r="O61" s="26">
        <f t="shared" ref="O61:BZ64" si="52">O34/C34-1</f>
        <v>-0.13684293257604285</v>
      </c>
      <c r="P61" s="26">
        <f t="shared" si="52"/>
        <v>-0.17272408145208706</v>
      </c>
      <c r="Q61" s="26">
        <f t="shared" si="52"/>
        <v>-0.41400609263161703</v>
      </c>
      <c r="R61" s="26">
        <f t="shared" si="52"/>
        <v>-0.42932400610797683</v>
      </c>
      <c r="S61" s="26">
        <f t="shared" si="52"/>
        <v>-0.37517462950031499</v>
      </c>
      <c r="T61" s="26">
        <f t="shared" si="52"/>
        <v>-0.20409383015544835</v>
      </c>
      <c r="U61" s="26">
        <f t="shared" si="52"/>
        <v>-4.5085727282862975E-2</v>
      </c>
      <c r="V61" s="26">
        <f t="shared" si="52"/>
        <v>-6.3295783309971765E-2</v>
      </c>
      <c r="W61" s="26">
        <f t="shared" si="52"/>
        <v>-3.4463289606941006E-2</v>
      </c>
      <c r="X61" s="26">
        <f t="shared" si="52"/>
        <v>0.10268610871142192</v>
      </c>
      <c r="Y61" s="26">
        <f t="shared" si="52"/>
        <v>8.6325980041300099E-2</v>
      </c>
      <c r="Z61" s="26">
        <f t="shared" si="52"/>
        <v>-3.019958657913524E-2</v>
      </c>
      <c r="AA61" s="26">
        <f t="shared" si="52"/>
        <v>9.6953322029082578E-2</v>
      </c>
      <c r="AB61" s="26">
        <f t="shared" si="52"/>
        <v>0.22258086582690528</v>
      </c>
      <c r="AC61" s="26">
        <f t="shared" si="52"/>
        <v>0.9856624812912933</v>
      </c>
      <c r="AD61" s="26">
        <f t="shared" si="52"/>
        <v>0.88956952051475779</v>
      </c>
      <c r="AE61" s="26">
        <f t="shared" si="52"/>
        <v>0.46597427081700316</v>
      </c>
      <c r="AF61" s="26">
        <f t="shared" si="52"/>
        <v>0.40205983199341788</v>
      </c>
      <c r="AG61" s="26">
        <f t="shared" si="52"/>
        <v>0.20343202673195626</v>
      </c>
      <c r="AH61" s="26">
        <f t="shared" si="52"/>
        <v>0.15398064590093319</v>
      </c>
      <c r="AI61" s="26">
        <f t="shared" si="52"/>
        <v>7.3597853226775367E-2</v>
      </c>
      <c r="AJ61" s="26">
        <f t="shared" si="52"/>
        <v>-7.6702611730555814E-3</v>
      </c>
      <c r="AK61" s="26">
        <f t="shared" si="52"/>
        <v>3.5059952791847593E-2</v>
      </c>
      <c r="AL61" s="26">
        <f t="shared" si="52"/>
        <v>9.1089326364413026E-2</v>
      </c>
      <c r="AM61" s="26">
        <f t="shared" si="52"/>
        <v>2.7467865965594251E-2</v>
      </c>
      <c r="AN61" s="26">
        <f t="shared" si="52"/>
        <v>-3.2890710151371905E-2</v>
      </c>
      <c r="AO61" s="26">
        <f t="shared" si="52"/>
        <v>5.4590818891858683E-2</v>
      </c>
      <c r="AP61" s="26">
        <f t="shared" si="52"/>
        <v>5.3613003653678382E-2</v>
      </c>
      <c r="AQ61" s="26">
        <f t="shared" si="52"/>
        <v>0.12140666690972202</v>
      </c>
      <c r="AR61" s="26">
        <f t="shared" si="52"/>
        <v>2.9133962661728408E-2</v>
      </c>
      <c r="AS61" s="26">
        <f t="shared" si="52"/>
        <v>9.1994010422369321E-4</v>
      </c>
      <c r="AT61" s="26">
        <f t="shared" si="52"/>
        <v>3.2993456985391578E-2</v>
      </c>
      <c r="AU61" s="26">
        <f t="shared" si="52"/>
        <v>3.4063411375994557E-2</v>
      </c>
      <c r="AV61" s="26">
        <f t="shared" si="52"/>
        <v>-0.13344541162167356</v>
      </c>
      <c r="AW61" s="26">
        <f t="shared" si="52"/>
        <v>-0.11952636344640932</v>
      </c>
      <c r="AX61" s="26">
        <f t="shared" si="52"/>
        <v>-1.2201811888847058E-2</v>
      </c>
      <c r="AY61" s="26">
        <f t="shared" si="52"/>
        <v>-2.5074076109458554E-2</v>
      </c>
      <c r="AZ61" s="26">
        <f t="shared" si="52"/>
        <v>-5.2429049809845529E-2</v>
      </c>
      <c r="BA61" s="26">
        <f t="shared" si="52"/>
        <v>-0.1373664054122733</v>
      </c>
      <c r="BB61" s="26">
        <f t="shared" si="52"/>
        <v>-0.12831237980151011</v>
      </c>
      <c r="BC61" s="26">
        <f t="shared" si="52"/>
        <v>-0.10193317079787245</v>
      </c>
      <c r="BD61" s="26">
        <f t="shared" si="52"/>
        <v>1.9255128025734702E-2</v>
      </c>
      <c r="BE61" s="26">
        <f t="shared" si="52"/>
        <v>-0.10020241392908025</v>
      </c>
      <c r="BF61" s="26">
        <f t="shared" si="52"/>
        <v>-0.11425011068244517</v>
      </c>
      <c r="BG61" s="26">
        <f t="shared" si="52"/>
        <v>-9.5393040229231785E-2</v>
      </c>
      <c r="BH61" s="26">
        <f t="shared" si="52"/>
        <v>8.5967895364726932E-3</v>
      </c>
      <c r="BI61" s="26">
        <f t="shared" si="52"/>
        <v>-8.0283969452288328E-2</v>
      </c>
      <c r="BJ61" s="26">
        <f t="shared" si="52"/>
        <v>-0.3302345165553906</v>
      </c>
      <c r="BK61" s="26">
        <f t="shared" si="52"/>
        <v>-0.2558632365815342</v>
      </c>
      <c r="BL61" s="26">
        <f t="shared" si="52"/>
        <v>-7.6909339503856367E-2</v>
      </c>
      <c r="BM61" s="26">
        <f t="shared" si="52"/>
        <v>-0.22245728993828884</v>
      </c>
      <c r="BN61" s="26">
        <f t="shared" si="52"/>
        <v>-7.451442064079794E-2</v>
      </c>
      <c r="BO61" s="26">
        <f t="shared" si="52"/>
        <v>1.6611912744414203E-2</v>
      </c>
      <c r="BP61" s="26">
        <f t="shared" si="52"/>
        <v>-0.17668700578744057</v>
      </c>
      <c r="BQ61" s="26">
        <f t="shared" si="52"/>
        <v>1.1288583915900041E-2</v>
      </c>
      <c r="BR61" s="26">
        <f t="shared" si="52"/>
        <v>8.2325853048696995E-2</v>
      </c>
      <c r="BS61" s="26">
        <f t="shared" si="52"/>
        <v>8.4209020042065541E-2</v>
      </c>
      <c r="BT61" s="26">
        <f t="shared" si="52"/>
        <v>0.17351111113170803</v>
      </c>
      <c r="BU61" s="26">
        <f t="shared" si="52"/>
        <v>0.27647575354310927</v>
      </c>
      <c r="BV61" s="26">
        <f t="shared" si="52"/>
        <v>0.61909463615422422</v>
      </c>
      <c r="BW61" s="26">
        <f t="shared" si="52"/>
        <v>0.56642286477593307</v>
      </c>
      <c r="BX61" s="26">
        <f t="shared" si="52"/>
        <v>0.3926861690418042</v>
      </c>
      <c r="BY61" s="26">
        <f t="shared" si="52"/>
        <v>0.56872464686237523</v>
      </c>
      <c r="BZ61" s="26">
        <f t="shared" si="52"/>
        <v>0.42868377540296887</v>
      </c>
      <c r="CA61" s="26">
        <f t="shared" ref="CA61:CN76" si="53">CA34/BO34-1</f>
        <v>0.24389055623220046</v>
      </c>
      <c r="CB61" s="26">
        <f t="shared" si="53"/>
        <v>0.41930929891767965</v>
      </c>
      <c r="CC61" s="26">
        <f t="shared" si="53"/>
        <v>0.36835599022860066</v>
      </c>
      <c r="CD61" s="26">
        <f t="shared" si="53"/>
        <v>0.23631048591500448</v>
      </c>
      <c r="CE61" s="26">
        <f t="shared" si="53"/>
        <v>0.20731582025673356</v>
      </c>
      <c r="CF61" s="26">
        <f t="shared" si="53"/>
        <v>0.20524071516538589</v>
      </c>
      <c r="CG61" s="26">
        <f t="shared" si="53"/>
        <v>7.729544392478549E-2</v>
      </c>
      <c r="CH61" s="26">
        <f t="shared" si="53"/>
        <v>5.3354633538071683E-2</v>
      </c>
      <c r="CI61" s="26">
        <f t="shared" si="53"/>
        <v>-4.1610122846098996E-2</v>
      </c>
      <c r="CJ61" s="26">
        <f t="shared" si="53"/>
        <v>-2.8443022933479667E-2</v>
      </c>
      <c r="CK61" s="26">
        <f t="shared" si="53"/>
        <v>-9.9505195994833429E-2</v>
      </c>
      <c r="CL61" s="26">
        <f t="shared" si="53"/>
        <v>-0.11377809604699007</v>
      </c>
      <c r="CM61" s="26">
        <f t="shared" si="53"/>
        <v>-0.17061870322077577</v>
      </c>
      <c r="CN61" s="26">
        <f t="shared" si="53"/>
        <v>-0.18693740367739697</v>
      </c>
      <c r="CO61" s="26"/>
    </row>
    <row r="62" spans="1:93" x14ac:dyDescent="0.2">
      <c r="N62" s="26">
        <f t="shared" ref="N62:AC77" si="54">N35/B35-1</f>
        <v>-0.2289391155453202</v>
      </c>
      <c r="O62" s="26">
        <f t="shared" si="52"/>
        <v>-0.21407577648313791</v>
      </c>
      <c r="P62" s="26">
        <f t="shared" si="52"/>
        <v>-0.22624075086940387</v>
      </c>
      <c r="Q62" s="26">
        <f t="shared" si="52"/>
        <v>-0.4166152316118934</v>
      </c>
      <c r="R62" s="26">
        <f t="shared" si="52"/>
        <v>-0.60924763262844295</v>
      </c>
      <c r="S62" s="26">
        <f t="shared" si="52"/>
        <v>-0.48955921454570972</v>
      </c>
      <c r="T62" s="26">
        <f t="shared" si="52"/>
        <v>-0.21133353329020055</v>
      </c>
      <c r="U62" s="26">
        <f t="shared" si="52"/>
        <v>-0.32818020785480218</v>
      </c>
      <c r="V62" s="26">
        <f t="shared" si="52"/>
        <v>-0.22922387877322381</v>
      </c>
      <c r="W62" s="26">
        <f t="shared" si="52"/>
        <v>-3.0931266401231672E-2</v>
      </c>
      <c r="X62" s="26">
        <f t="shared" si="52"/>
        <v>-6.6121377115242796E-2</v>
      </c>
      <c r="Y62" s="26">
        <f t="shared" si="52"/>
        <v>0.29044930776449074</v>
      </c>
      <c r="Z62" s="26">
        <f t="shared" si="52"/>
        <v>-4.6117371724185507E-2</v>
      </c>
      <c r="AA62" s="26">
        <f t="shared" si="52"/>
        <v>0.47354790211461428</v>
      </c>
      <c r="AB62" s="26">
        <f t="shared" si="52"/>
        <v>0.59650196606656669</v>
      </c>
      <c r="AC62" s="26">
        <f t="shared" si="52"/>
        <v>1.516348372794118</v>
      </c>
      <c r="AD62" s="26">
        <f t="shared" si="52"/>
        <v>2.1507195544447977</v>
      </c>
      <c r="AE62" s="26">
        <f t="shared" si="52"/>
        <v>0.87884147214273045</v>
      </c>
      <c r="AF62" s="26">
        <f t="shared" si="52"/>
        <v>0.7498728317371135</v>
      </c>
      <c r="AG62" s="26">
        <f t="shared" si="52"/>
        <v>0.83846308190343533</v>
      </c>
      <c r="AH62" s="26">
        <f t="shared" si="52"/>
        <v>0.67553373908740233</v>
      </c>
      <c r="AI62" s="26">
        <f t="shared" si="52"/>
        <v>0.47827820535766308</v>
      </c>
      <c r="AJ62" s="26">
        <f t="shared" si="52"/>
        <v>0.35288380032568845</v>
      </c>
      <c r="AK62" s="26">
        <f t="shared" si="52"/>
        <v>0.39269534376130166</v>
      </c>
      <c r="AL62" s="26">
        <f t="shared" si="52"/>
        <v>0.59448700751152139</v>
      </c>
      <c r="AM62" s="26">
        <f t="shared" si="52"/>
        <v>-3.3356589330958086E-2</v>
      </c>
      <c r="AN62" s="26">
        <f t="shared" si="52"/>
        <v>-2.6393293699442544E-2</v>
      </c>
      <c r="AO62" s="26">
        <f t="shared" si="52"/>
        <v>3.7476712815696089E-3</v>
      </c>
      <c r="AP62" s="26">
        <f t="shared" si="52"/>
        <v>8.353059926867612E-2</v>
      </c>
      <c r="AQ62" s="26">
        <f t="shared" si="52"/>
        <v>0.20282655789574355</v>
      </c>
      <c r="AR62" s="26">
        <f t="shared" si="52"/>
        <v>7.2862402841967322E-2</v>
      </c>
      <c r="AS62" s="26">
        <f t="shared" si="52"/>
        <v>7.4886400675388209E-2</v>
      </c>
      <c r="AT62" s="26">
        <f t="shared" si="52"/>
        <v>-8.7009907791176899E-2</v>
      </c>
      <c r="AU62" s="26">
        <f t="shared" si="52"/>
        <v>-2.9177202602821528E-2</v>
      </c>
      <c r="AV62" s="26">
        <f t="shared" si="52"/>
        <v>-3.2682972052395565E-2</v>
      </c>
      <c r="AW62" s="26">
        <f t="shared" si="52"/>
        <v>-0.17506497501674501</v>
      </c>
      <c r="AX62" s="26">
        <f t="shared" si="52"/>
        <v>1.8138155145486223E-4</v>
      </c>
      <c r="AY62" s="26">
        <f t="shared" si="52"/>
        <v>6.5186777609596902E-2</v>
      </c>
      <c r="AZ62" s="26">
        <f t="shared" si="52"/>
        <v>-2.9711842475501959E-2</v>
      </c>
      <c r="BA62" s="26">
        <f t="shared" si="52"/>
        <v>-0.2336189011554618</v>
      </c>
      <c r="BB62" s="26">
        <f t="shared" si="52"/>
        <v>-0.4082940777481141</v>
      </c>
      <c r="BC62" s="26">
        <f t="shared" si="52"/>
        <v>-0.30880167279729653</v>
      </c>
      <c r="BD62" s="26">
        <f t="shared" si="52"/>
        <v>-0.36432271706449526</v>
      </c>
      <c r="BE62" s="26">
        <f t="shared" si="52"/>
        <v>-0.43609504779154551</v>
      </c>
      <c r="BF62" s="26">
        <f t="shared" si="52"/>
        <v>-0.23981412374570821</v>
      </c>
      <c r="BG62" s="26">
        <f t="shared" si="52"/>
        <v>-0.32384759784061001</v>
      </c>
      <c r="BH62" s="26">
        <f t="shared" si="52"/>
        <v>-0.26783565760619599</v>
      </c>
      <c r="BI62" s="26">
        <f t="shared" si="52"/>
        <v>-0.39216161679891848</v>
      </c>
      <c r="BJ62" s="26">
        <f t="shared" si="52"/>
        <v>-0.52488880518657566</v>
      </c>
      <c r="BK62" s="26">
        <f t="shared" si="52"/>
        <v>-0.50801912903824786</v>
      </c>
      <c r="BL62" s="26">
        <f t="shared" si="52"/>
        <v>-0.36742913603251082</v>
      </c>
      <c r="BM62" s="26">
        <f t="shared" si="52"/>
        <v>-0.3228807112509654</v>
      </c>
      <c r="BN62" s="26">
        <f t="shared" si="52"/>
        <v>-1.1823087159421264E-2</v>
      </c>
      <c r="BO62" s="26">
        <f t="shared" si="52"/>
        <v>8.6206109897835059E-3</v>
      </c>
      <c r="BP62" s="26">
        <f t="shared" si="52"/>
        <v>9.6437337123442823E-3</v>
      </c>
      <c r="BQ62" s="26">
        <f t="shared" si="52"/>
        <v>0.21230753797729807</v>
      </c>
      <c r="BR62" s="26">
        <f t="shared" si="52"/>
        <v>0.19101084501231003</v>
      </c>
      <c r="BS62" s="26">
        <f t="shared" si="52"/>
        <v>0.12416228157141007</v>
      </c>
      <c r="BT62" s="26">
        <f t="shared" si="52"/>
        <v>0.21836117052578707</v>
      </c>
      <c r="BU62" s="26">
        <f t="shared" si="52"/>
        <v>0.44534856496755526</v>
      </c>
      <c r="BV62" s="26">
        <f t="shared" si="52"/>
        <v>0.84987897529998024</v>
      </c>
      <c r="BW62" s="26">
        <f t="shared" si="52"/>
        <v>0.59802848852999646</v>
      </c>
      <c r="BX62" s="26">
        <f t="shared" si="52"/>
        <v>0.4589819078656312</v>
      </c>
      <c r="BY62" s="26">
        <f t="shared" si="52"/>
        <v>0.3495742641754831</v>
      </c>
      <c r="BZ62" s="26">
        <f t="shared" si="52"/>
        <v>0.40028664875098752</v>
      </c>
      <c r="CA62" s="26">
        <f t="shared" si="53"/>
        <v>0.20641436289068782</v>
      </c>
      <c r="CB62" s="26">
        <f t="shared" si="53"/>
        <v>0.33291188655063442</v>
      </c>
      <c r="CC62" s="26">
        <f t="shared" si="53"/>
        <v>0.18463097914196225</v>
      </c>
      <c r="CD62" s="26">
        <f t="shared" si="53"/>
        <v>0.19302538470814401</v>
      </c>
      <c r="CE62" s="26">
        <f t="shared" si="53"/>
        <v>0.21761135886787764</v>
      </c>
      <c r="CF62" s="26">
        <f t="shared" si="53"/>
        <v>5.8938283835306082E-2</v>
      </c>
      <c r="CG62" s="26">
        <f t="shared" si="53"/>
        <v>-2.2334628448705152E-2</v>
      </c>
      <c r="CH62" s="26">
        <f t="shared" si="53"/>
        <v>5.5875698407347629E-2</v>
      </c>
      <c r="CI62" s="26">
        <f t="shared" si="53"/>
        <v>1.2053924824794837E-2</v>
      </c>
      <c r="CJ62" s="26">
        <f t="shared" si="53"/>
        <v>-4.6645406485637753E-2</v>
      </c>
      <c r="CK62" s="26">
        <f t="shared" si="53"/>
        <v>-9.4417410095753995E-3</v>
      </c>
      <c r="CL62" s="26">
        <f t="shared" si="53"/>
        <v>-0.11504962307302447</v>
      </c>
      <c r="CM62" s="26">
        <f t="shared" si="53"/>
        <v>-0.1217092990676879</v>
      </c>
      <c r="CN62" s="26">
        <f t="shared" si="53"/>
        <v>-0.16209115871189828</v>
      </c>
      <c r="CO62" s="26"/>
    </row>
    <row r="63" spans="1:93" x14ac:dyDescent="0.2">
      <c r="N63" s="26">
        <f t="shared" si="54"/>
        <v>-4.545743299447691E-2</v>
      </c>
      <c r="O63" s="26">
        <f t="shared" si="52"/>
        <v>-0.26170860443138755</v>
      </c>
      <c r="P63" s="26">
        <f t="shared" si="52"/>
        <v>-0.41484979311531867</v>
      </c>
      <c r="Q63" s="26">
        <f t="shared" si="52"/>
        <v>-0.12499403532384457</v>
      </c>
      <c r="R63" s="26">
        <f t="shared" si="52"/>
        <v>-0.5049134926785237</v>
      </c>
      <c r="S63" s="26">
        <f t="shared" si="52"/>
        <v>-0.33618765447954446</v>
      </c>
      <c r="T63" s="26">
        <f t="shared" si="52"/>
        <v>-0.50680531703901388</v>
      </c>
      <c r="U63" s="26">
        <f t="shared" si="52"/>
        <v>-0.23591433400204609</v>
      </c>
      <c r="V63" s="26">
        <f t="shared" si="52"/>
        <v>-0.41502066571525742</v>
      </c>
      <c r="W63" s="26">
        <f t="shared" si="52"/>
        <v>-0.23135440508632998</v>
      </c>
      <c r="X63" s="26">
        <f t="shared" si="52"/>
        <v>-0.28989644281954607</v>
      </c>
      <c r="Y63" s="26">
        <f t="shared" si="52"/>
        <v>-0.20207382250203076</v>
      </c>
      <c r="Z63" s="26">
        <f t="shared" si="52"/>
        <v>-0.11269303352861648</v>
      </c>
      <c r="AA63" s="26">
        <f t="shared" si="52"/>
        <v>0.36712560218032242</v>
      </c>
      <c r="AB63" s="26">
        <f t="shared" si="52"/>
        <v>5.941075964799194</v>
      </c>
      <c r="AC63" s="26">
        <f t="shared" si="52"/>
        <v>0.16843258525087457</v>
      </c>
      <c r="AD63" s="26">
        <f t="shared" si="52"/>
        <v>2.1842673192440114</v>
      </c>
      <c r="AE63" s="26">
        <f t="shared" si="52"/>
        <v>0.80044715154024648</v>
      </c>
      <c r="AF63" s="26">
        <f t="shared" si="52"/>
        <v>1.1041552717410843</v>
      </c>
      <c r="AG63" s="26">
        <f t="shared" si="52"/>
        <v>0.23064382255437521</v>
      </c>
      <c r="AH63" s="26">
        <f t="shared" si="52"/>
        <v>0.78732727090620069</v>
      </c>
      <c r="AI63" s="26">
        <f t="shared" si="52"/>
        <v>0.43559470948791268</v>
      </c>
      <c r="AJ63" s="26">
        <f t="shared" si="52"/>
        <v>1.1048039391909881</v>
      </c>
      <c r="AK63" s="26">
        <f t="shared" si="52"/>
        <v>1.1069452823331538</v>
      </c>
      <c r="AL63" s="26">
        <f t="shared" si="52"/>
        <v>9.313335548218582E-2</v>
      </c>
      <c r="AM63" s="26">
        <f t="shared" si="52"/>
        <v>4.9004845145665277E-2</v>
      </c>
      <c r="AN63" s="26">
        <f t="shared" si="52"/>
        <v>-0.57857527910656681</v>
      </c>
      <c r="AO63" s="26">
        <f t="shared" si="52"/>
        <v>-9.5299229734034929E-2</v>
      </c>
      <c r="AP63" s="26">
        <f t="shared" si="52"/>
        <v>-0.31902244488642151</v>
      </c>
      <c r="AQ63" s="26">
        <f t="shared" si="52"/>
        <v>0.20026420012629531</v>
      </c>
      <c r="AR63" s="26">
        <f t="shared" si="52"/>
        <v>-5.9391929042829306E-2</v>
      </c>
      <c r="AS63" s="26">
        <f t="shared" si="52"/>
        <v>9.765223527176059E-2</v>
      </c>
      <c r="AT63" s="26">
        <f t="shared" si="52"/>
        <v>-6.7001124778244159E-2</v>
      </c>
      <c r="AU63" s="26">
        <f t="shared" si="52"/>
        <v>-6.5437603005185085E-3</v>
      </c>
      <c r="AV63" s="26">
        <f t="shared" si="52"/>
        <v>-0.28458259728061086</v>
      </c>
      <c r="AW63" s="26">
        <f t="shared" si="52"/>
        <v>-0.29579104765048847</v>
      </c>
      <c r="AX63" s="26">
        <f t="shared" si="52"/>
        <v>1.0422450233177027</v>
      </c>
      <c r="AY63" s="26">
        <f t="shared" si="52"/>
        <v>-0.15594060480577598</v>
      </c>
      <c r="AZ63" s="26">
        <f t="shared" si="52"/>
        <v>-0.35030880211078963</v>
      </c>
      <c r="BA63" s="26">
        <f t="shared" si="52"/>
        <v>8.334225934420747E-2</v>
      </c>
      <c r="BB63" s="26">
        <f t="shared" si="52"/>
        <v>3.0531524835763157E-2</v>
      </c>
      <c r="BC63" s="26">
        <f t="shared" si="52"/>
        <v>5.7051877508713433E-2</v>
      </c>
      <c r="BD63" s="26">
        <f t="shared" si="52"/>
        <v>1.0348883697901274</v>
      </c>
      <c r="BE63" s="26">
        <f t="shared" si="52"/>
        <v>0.24358495446653805</v>
      </c>
      <c r="BF63" s="26">
        <f t="shared" si="52"/>
        <v>-4.9124391942363732E-2</v>
      </c>
      <c r="BG63" s="26">
        <f t="shared" si="52"/>
        <v>0.23707453352651608</v>
      </c>
      <c r="BH63" s="26">
        <f t="shared" si="52"/>
        <v>1.1080935143395183</v>
      </c>
      <c r="BI63" s="26">
        <f t="shared" si="52"/>
        <v>-0.34899940089657944</v>
      </c>
      <c r="BJ63" s="26">
        <f t="shared" si="52"/>
        <v>-0.25724787215261569</v>
      </c>
      <c r="BK63" s="26">
        <f t="shared" si="52"/>
        <v>-0.67921933007751556</v>
      </c>
      <c r="BL63" s="26">
        <f t="shared" si="52"/>
        <v>-0.55421600237127633</v>
      </c>
      <c r="BM63" s="26">
        <f t="shared" si="52"/>
        <v>-0.46733069145704964</v>
      </c>
      <c r="BN63" s="26">
        <f t="shared" si="52"/>
        <v>-0.61616439060075368</v>
      </c>
      <c r="BO63" s="26">
        <f t="shared" si="52"/>
        <v>-0.70594248466340914</v>
      </c>
      <c r="BP63" s="26">
        <f t="shared" si="52"/>
        <v>-0.68699478672625669</v>
      </c>
      <c r="BQ63" s="26">
        <f t="shared" si="52"/>
        <v>-0.63193999487307106</v>
      </c>
      <c r="BR63" s="26">
        <f t="shared" si="52"/>
        <v>-0.51523089201870542</v>
      </c>
      <c r="BS63" s="26">
        <f t="shared" si="52"/>
        <v>-0.2550600644926817</v>
      </c>
      <c r="BT63" s="26">
        <f t="shared" si="52"/>
        <v>-0.76903848133948527</v>
      </c>
      <c r="BU63" s="26">
        <f t="shared" si="52"/>
        <v>-0.29431026662200122</v>
      </c>
      <c r="BV63" s="26">
        <f t="shared" si="52"/>
        <v>-0.55839324696334613</v>
      </c>
      <c r="BW63" s="26">
        <f t="shared" si="52"/>
        <v>0.24168423557149921</v>
      </c>
      <c r="BX63" s="26">
        <f t="shared" si="52"/>
        <v>-0.14769836544442683</v>
      </c>
      <c r="BY63" s="26">
        <f t="shared" si="52"/>
        <v>0.77234955442992104</v>
      </c>
      <c r="BZ63" s="26">
        <f t="shared" si="52"/>
        <v>8.2278984964211377E-2</v>
      </c>
      <c r="CA63" s="26">
        <f t="shared" si="53"/>
        <v>0.2771191544521534</v>
      </c>
      <c r="CB63" s="26">
        <f t="shared" si="53"/>
        <v>-0.12812889049317844</v>
      </c>
      <c r="CC63" s="26">
        <f t="shared" si="53"/>
        <v>0.25925598245504466</v>
      </c>
      <c r="CD63" s="26">
        <f t="shared" si="53"/>
        <v>-0.20405812643833965</v>
      </c>
      <c r="CE63" s="26">
        <f t="shared" si="53"/>
        <v>-0.48708589496820676</v>
      </c>
      <c r="CF63" s="26">
        <f t="shared" si="53"/>
        <v>-0.34853790628573389</v>
      </c>
      <c r="CG63" s="26">
        <f t="shared" si="53"/>
        <v>-0.27349939204860618</v>
      </c>
      <c r="CH63" s="26">
        <f t="shared" si="53"/>
        <v>-0.29558848995955089</v>
      </c>
      <c r="CI63" s="26">
        <f t="shared" si="53"/>
        <v>3.5317553155972625E-2</v>
      </c>
      <c r="CJ63" s="26">
        <f t="shared" si="53"/>
        <v>-0.16312584477491332</v>
      </c>
      <c r="CK63" s="26">
        <f t="shared" si="53"/>
        <v>-0.63659221830164592</v>
      </c>
      <c r="CL63" s="26">
        <f t="shared" si="53"/>
        <v>-5.6775406325680344E-2</v>
      </c>
      <c r="CM63" s="26">
        <f t="shared" si="53"/>
        <v>-0.16690996327905949</v>
      </c>
      <c r="CN63" s="26">
        <f t="shared" si="53"/>
        <v>-0.27476019318622968</v>
      </c>
      <c r="CO63" s="26"/>
    </row>
    <row r="64" spans="1:93" x14ac:dyDescent="0.2">
      <c r="N64" s="26">
        <f t="shared" si="54"/>
        <v>-0.15705629487800921</v>
      </c>
      <c r="O64" s="26">
        <f t="shared" si="52"/>
        <v>-0.14189647379019754</v>
      </c>
      <c r="P64" s="26">
        <f t="shared" si="52"/>
        <v>-4.0008394531629854E-2</v>
      </c>
      <c r="Q64" s="26">
        <f t="shared" si="52"/>
        <v>-0.41077453977954004</v>
      </c>
      <c r="R64" s="26">
        <f t="shared" si="52"/>
        <v>-0.34673406027159803</v>
      </c>
      <c r="S64" s="26">
        <f t="shared" si="52"/>
        <v>-0.22034789857476123</v>
      </c>
      <c r="T64" s="26">
        <f t="shared" si="52"/>
        <v>-0.15748575847712143</v>
      </c>
      <c r="U64" s="26">
        <f t="shared" si="52"/>
        <v>7.1845506926423885E-2</v>
      </c>
      <c r="V64" s="26">
        <f t="shared" si="52"/>
        <v>4.9991919214408709E-2</v>
      </c>
      <c r="W64" s="26">
        <f t="shared" si="52"/>
        <v>0.23450442923233994</v>
      </c>
      <c r="X64" s="26">
        <f t="shared" si="52"/>
        <v>0.19071500943857611</v>
      </c>
      <c r="Y64" s="26">
        <f t="shared" si="52"/>
        <v>0.17088966560902352</v>
      </c>
      <c r="Z64" s="26">
        <f t="shared" si="52"/>
        <v>0.14234905751977833</v>
      </c>
      <c r="AA64" s="26">
        <f t="shared" si="52"/>
        <v>0.36234856470621479</v>
      </c>
      <c r="AB64" s="26">
        <f t="shared" si="52"/>
        <v>5.2525107364321588E-2</v>
      </c>
      <c r="AC64" s="26">
        <f t="shared" si="52"/>
        <v>1.0260594686095104</v>
      </c>
      <c r="AD64" s="26">
        <f t="shared" si="52"/>
        <v>0.73008778339597824</v>
      </c>
      <c r="AE64" s="26">
        <f t="shared" si="52"/>
        <v>0.46985736832141978</v>
      </c>
      <c r="AF64" s="26">
        <f t="shared" si="52"/>
        <v>0.37808003642014865</v>
      </c>
      <c r="AG64" s="26">
        <f t="shared" si="52"/>
        <v>0.20500154112069913</v>
      </c>
      <c r="AH64" s="26">
        <f t="shared" si="52"/>
        <v>0.24220797050145815</v>
      </c>
      <c r="AI64" s="26">
        <f t="shared" si="52"/>
        <v>0.22927099789781025</v>
      </c>
      <c r="AJ64" s="26">
        <f t="shared" si="52"/>
        <v>0.17982301003320256</v>
      </c>
      <c r="AK64" s="26">
        <f t="shared" si="52"/>
        <v>0.23539823413276451</v>
      </c>
      <c r="AL64" s="26">
        <f t="shared" si="52"/>
        <v>0.37041026138251665</v>
      </c>
      <c r="AM64" s="26">
        <f t="shared" si="52"/>
        <v>-3.8293668984413554E-2</v>
      </c>
      <c r="AN64" s="26">
        <f t="shared" si="52"/>
        <v>2.4421171090574179E-2</v>
      </c>
      <c r="AO64" s="26">
        <f t="shared" si="52"/>
        <v>-4.7361920975422245E-2</v>
      </c>
      <c r="AP64" s="26">
        <f t="shared" si="52"/>
        <v>7.6052774639029375E-2</v>
      </c>
      <c r="AQ64" s="26">
        <f t="shared" si="52"/>
        <v>0.15471621035333105</v>
      </c>
      <c r="AR64" s="26">
        <f t="shared" si="52"/>
        <v>0.12492215506998217</v>
      </c>
      <c r="AS64" s="26">
        <f t="shared" si="52"/>
        <v>-1.6491940846788067E-2</v>
      </c>
      <c r="AT64" s="26">
        <f t="shared" si="52"/>
        <v>-9.2529491769215433E-3</v>
      </c>
      <c r="AU64" s="26">
        <f t="shared" si="52"/>
        <v>-6.2539100748573051E-2</v>
      </c>
      <c r="AV64" s="26">
        <f t="shared" si="52"/>
        <v>-2.1299768178198675E-2</v>
      </c>
      <c r="AW64" s="26">
        <f t="shared" si="52"/>
        <v>-0.11828098439109203</v>
      </c>
      <c r="AX64" s="26">
        <f t="shared" si="52"/>
        <v>-7.7280303233752679E-2</v>
      </c>
      <c r="AY64" s="26">
        <f t="shared" si="52"/>
        <v>-6.1906037933022517E-2</v>
      </c>
      <c r="AZ64" s="26">
        <f t="shared" si="52"/>
        <v>0.18937950226517652</v>
      </c>
      <c r="BA64" s="26">
        <f t="shared" si="52"/>
        <v>2.9830848118804321E-2</v>
      </c>
      <c r="BB64" s="26">
        <f t="shared" si="52"/>
        <v>7.4653319143602737E-4</v>
      </c>
      <c r="BC64" s="26">
        <f t="shared" si="52"/>
        <v>-4.6894246025990238E-2</v>
      </c>
      <c r="BD64" s="26">
        <f t="shared" si="52"/>
        <v>-1.2607286439245025E-2</v>
      </c>
      <c r="BE64" s="26">
        <f t="shared" si="52"/>
        <v>-8.8872204859706594E-2</v>
      </c>
      <c r="BF64" s="26">
        <f t="shared" si="52"/>
        <v>-0.15212266983976641</v>
      </c>
      <c r="BG64" s="26">
        <f t="shared" si="52"/>
        <v>-0.11967947718152727</v>
      </c>
      <c r="BH64" s="26">
        <f t="shared" si="52"/>
        <v>-0.19160880733107377</v>
      </c>
      <c r="BI64" s="26">
        <f t="shared" si="52"/>
        <v>-0.27819861109684374</v>
      </c>
      <c r="BJ64" s="26">
        <f t="shared" si="52"/>
        <v>-0.40625929231822411</v>
      </c>
      <c r="BK64" s="26">
        <f t="shared" si="52"/>
        <v>-0.41181650478336962</v>
      </c>
      <c r="BL64" s="26">
        <f t="shared" si="52"/>
        <v>-0.35383102662073496</v>
      </c>
      <c r="BM64" s="26">
        <f t="shared" si="52"/>
        <v>-0.40554866441643012</v>
      </c>
      <c r="BN64" s="26">
        <f t="shared" si="52"/>
        <v>-0.29680350006615941</v>
      </c>
      <c r="BO64" s="26">
        <f t="shared" si="52"/>
        <v>-0.15716655231988852</v>
      </c>
      <c r="BP64" s="26">
        <f t="shared" si="52"/>
        <v>-8.750082187958208E-2</v>
      </c>
      <c r="BQ64" s="26">
        <f t="shared" si="52"/>
        <v>-0.11731165657391129</v>
      </c>
      <c r="BR64" s="26">
        <f t="shared" si="52"/>
        <v>0.14264998668942752</v>
      </c>
      <c r="BS64" s="26">
        <f t="shared" si="52"/>
        <v>0.12077437500810784</v>
      </c>
      <c r="BT64" s="26">
        <f t="shared" si="52"/>
        <v>0.30388199676217309</v>
      </c>
      <c r="BU64" s="26">
        <f t="shared" si="52"/>
        <v>0.491521312975574</v>
      </c>
      <c r="BV64" s="26">
        <f t="shared" si="52"/>
        <v>0.92495719737328663</v>
      </c>
      <c r="BW64" s="26">
        <f t="shared" si="52"/>
        <v>1.0107527977844626</v>
      </c>
      <c r="BX64" s="26">
        <f t="shared" si="52"/>
        <v>0.70480271969919062</v>
      </c>
      <c r="BY64" s="26">
        <f t="shared" si="52"/>
        <v>0.71781602374071629</v>
      </c>
      <c r="BZ64" s="26">
        <f t="shared" ref="BZ64:CN79" si="55">BZ37/BN37-1</f>
        <v>0.6069129440743537</v>
      </c>
      <c r="CA64" s="26">
        <f t="shared" si="53"/>
        <v>0.3368184087949242</v>
      </c>
      <c r="CB64" s="26">
        <f t="shared" si="53"/>
        <v>0.28865523409115013</v>
      </c>
      <c r="CC64" s="26">
        <f t="shared" si="53"/>
        <v>0.32997361772421696</v>
      </c>
      <c r="CD64" s="26">
        <f t="shared" si="53"/>
        <v>0.15028397916906511</v>
      </c>
      <c r="CE64" s="26">
        <f t="shared" si="53"/>
        <v>9.1080684703649162E-2</v>
      </c>
      <c r="CF64" s="26">
        <f t="shared" si="53"/>
        <v>-2.8402328910867025E-2</v>
      </c>
      <c r="CG64" s="26">
        <f t="shared" si="53"/>
        <v>-4.8440429793950912E-2</v>
      </c>
      <c r="CH64" s="26">
        <f t="shared" si="53"/>
        <v>-7.1558167436550191E-2</v>
      </c>
      <c r="CI64" s="26">
        <f t="shared" si="53"/>
        <v>-3.8704230810620133E-2</v>
      </c>
      <c r="CJ64" s="26">
        <f t="shared" si="53"/>
        <v>-4.7098063755165676E-2</v>
      </c>
      <c r="CK64" s="26">
        <f t="shared" si="53"/>
        <v>1.00947422337756E-2</v>
      </c>
      <c r="CL64" s="26">
        <f t="shared" si="53"/>
        <v>-5.479190571314807E-2</v>
      </c>
      <c r="CM64" s="26">
        <f t="shared" si="53"/>
        <v>-4.4384292883329013E-2</v>
      </c>
      <c r="CN64" s="26">
        <f t="shared" si="53"/>
        <v>-0.10919796988298391</v>
      </c>
      <c r="CO64" s="26"/>
    </row>
    <row r="65" spans="14:93" x14ac:dyDescent="0.2">
      <c r="N65" s="26">
        <f t="shared" si="54"/>
        <v>0.144870405020324</v>
      </c>
      <c r="O65" s="26">
        <f t="shared" si="54"/>
        <v>-7.1353590189656257E-2</v>
      </c>
      <c r="P65" s="26">
        <f t="shared" si="54"/>
        <v>-0.18221830757133362</v>
      </c>
      <c r="Q65" s="26">
        <f t="shared" si="54"/>
        <v>-0.45040952934033218</v>
      </c>
      <c r="R65" s="26">
        <f t="shared" si="54"/>
        <v>-0.41489774588701367</v>
      </c>
      <c r="S65" s="26">
        <f t="shared" si="54"/>
        <v>-0.3849422288245874</v>
      </c>
      <c r="T65" s="26">
        <f t="shared" si="54"/>
        <v>-0.24942287723330858</v>
      </c>
      <c r="U65" s="26">
        <f t="shared" si="54"/>
        <v>-0.10135458276074039</v>
      </c>
      <c r="V65" s="26">
        <f t="shared" si="54"/>
        <v>-3.0399391731533831E-2</v>
      </c>
      <c r="W65" s="26">
        <f t="shared" si="54"/>
        <v>-4.4230919293270388E-2</v>
      </c>
      <c r="X65" s="26">
        <f t="shared" si="54"/>
        <v>-0.15790940475523252</v>
      </c>
      <c r="Y65" s="26">
        <f t="shared" si="54"/>
        <v>-7.3484508453654618E-2</v>
      </c>
      <c r="Z65" s="26">
        <f t="shared" si="54"/>
        <v>-0.10314987222045635</v>
      </c>
      <c r="AA65" s="26">
        <f t="shared" si="54"/>
        <v>-7.6756242996071089E-3</v>
      </c>
      <c r="AB65" s="26">
        <f t="shared" si="54"/>
        <v>0.20660778183404993</v>
      </c>
      <c r="AC65" s="26">
        <f t="shared" si="54"/>
        <v>0.94568695144865789</v>
      </c>
      <c r="AD65" s="26">
        <f t="shared" ref="AD65:BY70" si="56">AD38/R38-1</f>
        <v>0.65160926804985175</v>
      </c>
      <c r="AE65" s="26">
        <f t="shared" si="56"/>
        <v>0.56273035763974533</v>
      </c>
      <c r="AF65" s="26">
        <f t="shared" si="56"/>
        <v>0.18680570996581558</v>
      </c>
      <c r="AG65" s="26">
        <f t="shared" si="56"/>
        <v>0.1499463946675994</v>
      </c>
      <c r="AH65" s="26">
        <f t="shared" si="56"/>
        <v>0.23456280930678686</v>
      </c>
      <c r="AI65" s="26">
        <f t="shared" si="56"/>
        <v>0.18464311462781469</v>
      </c>
      <c r="AJ65" s="26">
        <f t="shared" si="56"/>
        <v>3.7844501813200981E-2</v>
      </c>
      <c r="AK65" s="26">
        <f t="shared" si="56"/>
        <v>0.18177055720687663</v>
      </c>
      <c r="AL65" s="26">
        <f t="shared" si="56"/>
        <v>-8.0483702982226957E-3</v>
      </c>
      <c r="AM65" s="26">
        <f t="shared" si="56"/>
        <v>6.6523764781209138E-2</v>
      </c>
      <c r="AN65" s="26">
        <f t="shared" si="56"/>
        <v>-0.11237800697435574</v>
      </c>
      <c r="AO65" s="26">
        <f t="shared" si="56"/>
        <v>0.11801705669376816</v>
      </c>
      <c r="AP65" s="26">
        <f t="shared" si="56"/>
        <v>4.2181357307224721E-2</v>
      </c>
      <c r="AQ65" s="26">
        <f t="shared" si="56"/>
        <v>-2.2121569416137965E-2</v>
      </c>
      <c r="AR65" s="26">
        <f t="shared" si="56"/>
        <v>0.15438458843334169</v>
      </c>
      <c r="AS65" s="26">
        <f t="shared" si="56"/>
        <v>-5.8904052938126727E-2</v>
      </c>
      <c r="AT65" s="26">
        <f t="shared" si="56"/>
        <v>-7.5174290473888683E-2</v>
      </c>
      <c r="AU65" s="26">
        <f t="shared" si="56"/>
        <v>-0.10439024558816778</v>
      </c>
      <c r="AV65" s="26">
        <f t="shared" si="56"/>
        <v>-8.8071673053493948E-2</v>
      </c>
      <c r="AW65" s="26">
        <f t="shared" si="56"/>
        <v>-0.127538793133668</v>
      </c>
      <c r="AX65" s="26">
        <f t="shared" si="56"/>
        <v>-2.4592439168753533E-2</v>
      </c>
      <c r="AY65" s="26">
        <f t="shared" si="56"/>
        <v>3.5402401301527275E-2</v>
      </c>
      <c r="AZ65" s="26">
        <f t="shared" si="56"/>
        <v>7.7867624477589548E-2</v>
      </c>
      <c r="BA65" s="26">
        <f t="shared" si="56"/>
        <v>-6.5191351456269531E-2</v>
      </c>
      <c r="BB65" s="26">
        <f t="shared" si="56"/>
        <v>-5.0432582654981073E-2</v>
      </c>
      <c r="BC65" s="26">
        <f t="shared" si="56"/>
        <v>-1.5786007004744418E-2</v>
      </c>
      <c r="BD65" s="26">
        <f t="shared" si="56"/>
        <v>9.2638515820018918E-2</v>
      </c>
      <c r="BE65" s="26">
        <f t="shared" si="56"/>
        <v>0.11348538033408739</v>
      </c>
      <c r="BF65" s="26">
        <f t="shared" si="56"/>
        <v>1.3664525447134368E-2</v>
      </c>
      <c r="BG65" s="26">
        <f t="shared" si="56"/>
        <v>0.13545092534554071</v>
      </c>
      <c r="BH65" s="26">
        <f t="shared" si="56"/>
        <v>3.3282305677960311E-2</v>
      </c>
      <c r="BI65" s="26">
        <f t="shared" si="56"/>
        <v>-8.7210496477892807E-2</v>
      </c>
      <c r="BJ65" s="26">
        <f t="shared" si="56"/>
        <v>-0.29224453876569767</v>
      </c>
      <c r="BK65" s="26">
        <f t="shared" si="56"/>
        <v>-0.3529834000950105</v>
      </c>
      <c r="BL65" s="26">
        <f t="shared" si="56"/>
        <v>-0.17503922826662954</v>
      </c>
      <c r="BM65" s="26">
        <f t="shared" si="56"/>
        <v>-0.2766279066593389</v>
      </c>
      <c r="BN65" s="26">
        <f t="shared" si="56"/>
        <v>-0.15964457389261832</v>
      </c>
      <c r="BO65" s="26">
        <f t="shared" si="56"/>
        <v>2.8649692518658565E-2</v>
      </c>
      <c r="BP65" s="26">
        <f t="shared" si="56"/>
        <v>-0.1819406682703939</v>
      </c>
      <c r="BQ65" s="26">
        <f t="shared" si="56"/>
        <v>0.24879530775239123</v>
      </c>
      <c r="BR65" s="26">
        <f t="shared" si="56"/>
        <v>0.1122750721977368</v>
      </c>
      <c r="BS65" s="26">
        <f t="shared" si="56"/>
        <v>9.9484013878124555E-2</v>
      </c>
      <c r="BT65" s="26">
        <f t="shared" si="56"/>
        <v>0.2563347240824918</v>
      </c>
      <c r="BU65" s="26">
        <f t="shared" si="56"/>
        <v>0.37596019170892148</v>
      </c>
      <c r="BV65" s="26">
        <f t="shared" si="56"/>
        <v>0.63737573874393405</v>
      </c>
      <c r="BW65" s="26">
        <f t="shared" si="56"/>
        <v>0.75317795003221</v>
      </c>
      <c r="BX65" s="26">
        <f t="shared" si="56"/>
        <v>0.52751294803011906</v>
      </c>
      <c r="BY65" s="26">
        <f t="shared" si="56"/>
        <v>0.66910449301064423</v>
      </c>
      <c r="BZ65" s="26">
        <f t="shared" si="55"/>
        <v>0.56033957348735841</v>
      </c>
      <c r="CA65" s="26">
        <f t="shared" si="53"/>
        <v>0.29971135669760884</v>
      </c>
      <c r="CB65" s="26">
        <f t="shared" si="53"/>
        <v>0.23887446028011228</v>
      </c>
      <c r="CC65" s="26">
        <f t="shared" si="53"/>
        <v>-2.2030966605571023E-2</v>
      </c>
      <c r="CD65" s="26">
        <f t="shared" si="53"/>
        <v>8.7819132213715401E-2</v>
      </c>
      <c r="CE65" s="26">
        <f t="shared" si="53"/>
        <v>8.6848589513131458E-2</v>
      </c>
      <c r="CF65" s="26">
        <f t="shared" si="53"/>
        <v>6.6400275325595448E-2</v>
      </c>
      <c r="CG65" s="26">
        <f t="shared" si="53"/>
        <v>-0.10084046978647854</v>
      </c>
      <c r="CH65" s="26">
        <f t="shared" si="53"/>
        <v>1.0474684471683893</v>
      </c>
      <c r="CI65" s="26">
        <f t="shared" si="53"/>
        <v>-5.0393469579842143E-2</v>
      </c>
      <c r="CJ65" s="26">
        <f t="shared" si="53"/>
        <v>0.96905069415358969</v>
      </c>
      <c r="CK65" s="26">
        <f t="shared" si="53"/>
        <v>0.13725598246666926</v>
      </c>
      <c r="CL65" s="26">
        <f t="shared" si="53"/>
        <v>-0.13730504832099821</v>
      </c>
      <c r="CM65" s="26">
        <f t="shared" si="53"/>
        <v>-0.18096917451401517</v>
      </c>
      <c r="CN65" s="26">
        <f t="shared" si="53"/>
        <v>-0.15774354315846184</v>
      </c>
      <c r="CO65" s="26"/>
    </row>
    <row r="66" spans="14:93" x14ac:dyDescent="0.2">
      <c r="N66" s="26">
        <f t="shared" si="54"/>
        <v>2.5806194978565955E-3</v>
      </c>
      <c r="O66" s="26">
        <f t="shared" si="54"/>
        <v>-0.20631675066787125</v>
      </c>
      <c r="P66" s="26">
        <f t="shared" si="54"/>
        <v>-2.261150700367609E-2</v>
      </c>
      <c r="Q66" s="26">
        <f t="shared" si="54"/>
        <v>-0.43885659643749253</v>
      </c>
      <c r="R66" s="26">
        <f t="shared" si="54"/>
        <v>-0.51010002049857184</v>
      </c>
      <c r="S66" s="26">
        <f t="shared" si="54"/>
        <v>-1.9878679668426047E-2</v>
      </c>
      <c r="T66" s="26">
        <f t="shared" si="54"/>
        <v>2.9841771668232209E-2</v>
      </c>
      <c r="U66" s="26">
        <f t="shared" si="54"/>
        <v>-8.2409725994991856E-3</v>
      </c>
      <c r="V66" s="26">
        <f t="shared" si="54"/>
        <v>4.0536271145904967E-2</v>
      </c>
      <c r="W66" s="26">
        <f t="shared" si="54"/>
        <v>8.9254842716347982E-2</v>
      </c>
      <c r="X66" s="26">
        <f t="shared" si="54"/>
        <v>0.15938890237081926</v>
      </c>
      <c r="Y66" s="26">
        <f t="shared" si="54"/>
        <v>2.3677680341545049E-3</v>
      </c>
      <c r="Z66" s="26">
        <f t="shared" si="54"/>
        <v>0.1486196111643443</v>
      </c>
      <c r="AA66" s="26">
        <f t="shared" si="54"/>
        <v>0.2367785990904081</v>
      </c>
      <c r="AB66" s="26">
        <f t="shared" si="54"/>
        <v>0.12541882771123181</v>
      </c>
      <c r="AC66" s="26">
        <f t="shared" si="54"/>
        <v>1.1618667199897734</v>
      </c>
      <c r="AD66" s="26">
        <f t="shared" si="56"/>
        <v>0.9894892873157084</v>
      </c>
      <c r="AE66" s="26">
        <f t="shared" si="56"/>
        <v>0.13656267535951172</v>
      </c>
      <c r="AF66" s="26">
        <f t="shared" si="56"/>
        <v>0.1529549095371574</v>
      </c>
      <c r="AG66" s="26">
        <f t="shared" si="56"/>
        <v>0.32436455863237379</v>
      </c>
      <c r="AH66" s="26">
        <f t="shared" si="56"/>
        <v>-8.8312464414688208E-3</v>
      </c>
      <c r="AI66" s="26">
        <f t="shared" si="56"/>
        <v>8.9891266060583508E-2</v>
      </c>
      <c r="AJ66" s="26">
        <f t="shared" si="56"/>
        <v>0.11318529739223981</v>
      </c>
      <c r="AK66" s="26">
        <f t="shared" si="56"/>
        <v>0.18746938864236462</v>
      </c>
      <c r="AL66" s="26">
        <f t="shared" si="56"/>
        <v>1.2911150621566225E-3</v>
      </c>
      <c r="AM66" s="26">
        <f t="shared" si="56"/>
        <v>2.1498727066516343E-2</v>
      </c>
      <c r="AN66" s="26">
        <f t="shared" si="56"/>
        <v>0.16455725239021413</v>
      </c>
      <c r="AO66" s="26">
        <f t="shared" si="56"/>
        <v>-0.10670817332383109</v>
      </c>
      <c r="AP66" s="26">
        <f t="shared" si="56"/>
        <v>2.4891007537489074E-2</v>
      </c>
      <c r="AQ66" s="26">
        <f t="shared" si="56"/>
        <v>6.1226608613146771E-2</v>
      </c>
      <c r="AR66" s="26">
        <f t="shared" si="56"/>
        <v>2.6117943055588011E-2</v>
      </c>
      <c r="AS66" s="26">
        <f t="shared" si="56"/>
        <v>-8.7443708220851124E-2</v>
      </c>
      <c r="AT66" s="26">
        <f t="shared" si="56"/>
        <v>7.4689268348668181E-2</v>
      </c>
      <c r="AU66" s="26">
        <f t="shared" si="56"/>
        <v>-0.25195977419790472</v>
      </c>
      <c r="AV66" s="26">
        <f t="shared" si="56"/>
        <v>-0.11914686824285003</v>
      </c>
      <c r="AW66" s="26">
        <f t="shared" si="56"/>
        <v>-0.19919676332204439</v>
      </c>
      <c r="AX66" s="26">
        <f t="shared" si="56"/>
        <v>-0.12048770485146088</v>
      </c>
      <c r="AY66" s="26">
        <f t="shared" si="56"/>
        <v>-6.9257077801760381E-2</v>
      </c>
      <c r="AZ66" s="26">
        <f t="shared" si="56"/>
        <v>-0.25430358462320246</v>
      </c>
      <c r="BA66" s="26">
        <f t="shared" si="56"/>
        <v>-0.24560444818489957</v>
      </c>
      <c r="BB66" s="26">
        <f t="shared" si="56"/>
        <v>-0.17675484638249195</v>
      </c>
      <c r="BC66" s="26">
        <f t="shared" si="56"/>
        <v>-0.19449467561439815</v>
      </c>
      <c r="BD66" s="26">
        <f t="shared" si="56"/>
        <v>-0.26845374465478955</v>
      </c>
      <c r="BE66" s="26">
        <f t="shared" si="56"/>
        <v>-0.15750119431202658</v>
      </c>
      <c r="BF66" s="26">
        <f t="shared" si="56"/>
        <v>-0.21882163474856497</v>
      </c>
      <c r="BG66" s="26">
        <f t="shared" si="56"/>
        <v>-5.7451500814634238E-2</v>
      </c>
      <c r="BH66" s="26">
        <f t="shared" si="56"/>
        <v>-0.19484588510584189</v>
      </c>
      <c r="BI66" s="26">
        <f t="shared" si="56"/>
        <v>-0.29334596778639932</v>
      </c>
      <c r="BJ66" s="26">
        <f t="shared" si="56"/>
        <v>-0.25342723932559907</v>
      </c>
      <c r="BK66" s="26">
        <f t="shared" si="56"/>
        <v>-0.30633597653029265</v>
      </c>
      <c r="BL66" s="26">
        <f t="shared" si="56"/>
        <v>-0.2590261369221879</v>
      </c>
      <c r="BM66" s="26">
        <f t="shared" si="56"/>
        <v>-0.18704562182624518</v>
      </c>
      <c r="BN66" s="26">
        <f t="shared" si="56"/>
        <v>-0.13163683422825823</v>
      </c>
      <c r="BO66" s="26">
        <f t="shared" si="56"/>
        <v>-9.5448961308965852E-2</v>
      </c>
      <c r="BP66" s="26">
        <f t="shared" si="56"/>
        <v>1.1548287514416389E-2</v>
      </c>
      <c r="BQ66" s="26">
        <f t="shared" si="56"/>
        <v>9.1556259985337451E-2</v>
      </c>
      <c r="BR66" s="26">
        <f t="shared" si="56"/>
        <v>6.9840914566296819E-2</v>
      </c>
      <c r="BS66" s="26">
        <f t="shared" si="56"/>
        <v>2.423789353310557E-2</v>
      </c>
      <c r="BT66" s="26">
        <f t="shared" si="56"/>
        <v>0.20439046460040444</v>
      </c>
      <c r="BU66" s="26">
        <f t="shared" si="56"/>
        <v>0.31155264776113478</v>
      </c>
      <c r="BV66" s="26">
        <f t="shared" si="56"/>
        <v>0.66152712837106331</v>
      </c>
      <c r="BW66" s="26">
        <f t="shared" si="56"/>
        <v>0.43154047648262517</v>
      </c>
      <c r="BX66" s="26">
        <f t="shared" si="56"/>
        <v>0.54618214600422443</v>
      </c>
      <c r="BY66" s="26">
        <f t="shared" si="56"/>
        <v>0.59999110149673718</v>
      </c>
      <c r="BZ66" s="26">
        <f t="shared" si="55"/>
        <v>0.47115082729791413</v>
      </c>
      <c r="CA66" s="26">
        <f t="shared" si="53"/>
        <v>0.55012509187112157</v>
      </c>
      <c r="CB66" s="26">
        <f t="shared" si="53"/>
        <v>0.39104239484854397</v>
      </c>
      <c r="CC66" s="26">
        <f t="shared" si="53"/>
        <v>0.11088471323768845</v>
      </c>
      <c r="CD66" s="26">
        <f t="shared" si="53"/>
        <v>0.33794176180053936</v>
      </c>
      <c r="CE66" s="26">
        <f t="shared" si="53"/>
        <v>0.27118893357189466</v>
      </c>
      <c r="CF66" s="26">
        <f t="shared" si="53"/>
        <v>-0.17770040358415329</v>
      </c>
      <c r="CG66" s="26">
        <f t="shared" si="53"/>
        <v>0.26974018347911266</v>
      </c>
      <c r="CH66" s="26">
        <f t="shared" si="53"/>
        <v>-3.7236894914454477E-2</v>
      </c>
      <c r="CI66" s="26">
        <f t="shared" si="53"/>
        <v>-3.731419175388162E-2</v>
      </c>
      <c r="CJ66" s="26">
        <f t="shared" si="53"/>
        <v>4.7674111910635864E-2</v>
      </c>
      <c r="CK66" s="26">
        <f t="shared" si="53"/>
        <v>7.3878587771452064E-3</v>
      </c>
      <c r="CL66" s="26">
        <f t="shared" si="53"/>
        <v>-0.10245020992045262</v>
      </c>
      <c r="CM66" s="26">
        <f t="shared" si="53"/>
        <v>-0.19339676159531149</v>
      </c>
      <c r="CN66" s="26">
        <f t="shared" si="53"/>
        <v>-0.10385478057874753</v>
      </c>
      <c r="CO66" s="26"/>
    </row>
    <row r="67" spans="14:93" x14ac:dyDescent="0.2">
      <c r="N67" s="26" t="e">
        <f t="shared" si="54"/>
        <v>#VALUE!</v>
      </c>
      <c r="O67" s="26" t="e">
        <f t="shared" si="54"/>
        <v>#VALUE!</v>
      </c>
      <c r="P67" s="26" t="e">
        <f t="shared" si="54"/>
        <v>#VALUE!</v>
      </c>
      <c r="Q67" s="26" t="e">
        <f t="shared" si="54"/>
        <v>#VALUE!</v>
      </c>
      <c r="R67" s="26" t="e">
        <f t="shared" si="54"/>
        <v>#VALUE!</v>
      </c>
      <c r="S67" s="26" t="e">
        <f t="shared" si="54"/>
        <v>#VALUE!</v>
      </c>
      <c r="T67" s="26" t="e">
        <f t="shared" si="54"/>
        <v>#VALUE!</v>
      </c>
      <c r="U67" s="26" t="e">
        <f t="shared" si="54"/>
        <v>#VALUE!</v>
      </c>
      <c r="V67" s="26" t="e">
        <f t="shared" si="54"/>
        <v>#VALUE!</v>
      </c>
      <c r="W67" s="26" t="e">
        <f t="shared" si="54"/>
        <v>#VALUE!</v>
      </c>
      <c r="X67" s="26" t="e">
        <f t="shared" si="54"/>
        <v>#VALUE!</v>
      </c>
      <c r="Y67" s="26" t="e">
        <f t="shared" si="54"/>
        <v>#VALUE!</v>
      </c>
      <c r="Z67" s="26" t="e">
        <f t="shared" si="54"/>
        <v>#VALUE!</v>
      </c>
      <c r="AA67" s="26" t="e">
        <f t="shared" si="54"/>
        <v>#VALUE!</v>
      </c>
      <c r="AB67" s="26" t="e">
        <f t="shared" si="54"/>
        <v>#VALUE!</v>
      </c>
      <c r="AC67" s="26" t="e">
        <f t="shared" si="54"/>
        <v>#VALUE!</v>
      </c>
      <c r="AD67" s="26" t="e">
        <f t="shared" si="56"/>
        <v>#VALUE!</v>
      </c>
      <c r="AE67" s="26" t="e">
        <f t="shared" si="56"/>
        <v>#VALUE!</v>
      </c>
      <c r="AF67" s="26" t="e">
        <f t="shared" si="56"/>
        <v>#VALUE!</v>
      </c>
      <c r="AG67" s="26" t="e">
        <f t="shared" si="56"/>
        <v>#VALUE!</v>
      </c>
      <c r="AH67" s="26" t="e">
        <f t="shared" si="56"/>
        <v>#VALUE!</v>
      </c>
      <c r="AI67" s="26" t="e">
        <f t="shared" si="56"/>
        <v>#VALUE!</v>
      </c>
      <c r="AJ67" s="26" t="e">
        <f t="shared" si="56"/>
        <v>#VALUE!</v>
      </c>
      <c r="AK67" s="26" t="e">
        <f t="shared" si="56"/>
        <v>#VALUE!</v>
      </c>
      <c r="AL67" s="26" t="e">
        <f t="shared" si="56"/>
        <v>#VALUE!</v>
      </c>
      <c r="AM67" s="26" t="e">
        <f t="shared" si="56"/>
        <v>#VALUE!</v>
      </c>
      <c r="AN67" s="26" t="e">
        <f t="shared" si="56"/>
        <v>#VALUE!</v>
      </c>
      <c r="AO67" s="26" t="e">
        <f t="shared" si="56"/>
        <v>#VALUE!</v>
      </c>
      <c r="AP67" s="26" t="e">
        <f t="shared" si="56"/>
        <v>#VALUE!</v>
      </c>
      <c r="AQ67" s="26" t="e">
        <f t="shared" si="56"/>
        <v>#VALUE!</v>
      </c>
      <c r="AR67" s="26" t="e">
        <f t="shared" si="56"/>
        <v>#VALUE!</v>
      </c>
      <c r="AS67" s="26" t="e">
        <f t="shared" si="56"/>
        <v>#VALUE!</v>
      </c>
      <c r="AT67" s="26" t="e">
        <f t="shared" si="56"/>
        <v>#VALUE!</v>
      </c>
      <c r="AU67" s="26" t="e">
        <f t="shared" si="56"/>
        <v>#VALUE!</v>
      </c>
      <c r="AV67" s="26" t="e">
        <f t="shared" si="56"/>
        <v>#VALUE!</v>
      </c>
      <c r="AW67" s="26" t="e">
        <f t="shared" si="56"/>
        <v>#VALUE!</v>
      </c>
      <c r="AX67" s="26" t="e">
        <f t="shared" si="56"/>
        <v>#VALUE!</v>
      </c>
      <c r="AY67" s="26" t="e">
        <f t="shared" si="56"/>
        <v>#VALUE!</v>
      </c>
      <c r="AZ67" s="26" t="e">
        <f t="shared" si="56"/>
        <v>#VALUE!</v>
      </c>
      <c r="BA67" s="26" t="e">
        <f t="shared" si="56"/>
        <v>#VALUE!</v>
      </c>
      <c r="BB67" s="26" t="e">
        <f t="shared" si="56"/>
        <v>#VALUE!</v>
      </c>
      <c r="BC67" s="26" t="e">
        <f t="shared" si="56"/>
        <v>#VALUE!</v>
      </c>
      <c r="BD67" s="26" t="e">
        <f t="shared" si="56"/>
        <v>#VALUE!</v>
      </c>
      <c r="BE67" s="26" t="e">
        <f t="shared" si="56"/>
        <v>#VALUE!</v>
      </c>
      <c r="BF67" s="26" t="e">
        <f t="shared" si="56"/>
        <v>#VALUE!</v>
      </c>
      <c r="BG67" s="26" t="e">
        <f t="shared" si="56"/>
        <v>#VALUE!</v>
      </c>
      <c r="BH67" s="26" t="e">
        <f t="shared" si="56"/>
        <v>#VALUE!</v>
      </c>
      <c r="BI67" s="26" t="e">
        <f t="shared" si="56"/>
        <v>#VALUE!</v>
      </c>
      <c r="BJ67" s="26" t="e">
        <f t="shared" si="56"/>
        <v>#VALUE!</v>
      </c>
      <c r="BK67" s="26" t="e">
        <f t="shared" si="56"/>
        <v>#VALUE!</v>
      </c>
      <c r="BL67" s="26" t="e">
        <f t="shared" si="56"/>
        <v>#VALUE!</v>
      </c>
      <c r="BM67" s="26" t="e">
        <f t="shared" si="56"/>
        <v>#VALUE!</v>
      </c>
      <c r="BN67" s="26" t="e">
        <f t="shared" si="56"/>
        <v>#VALUE!</v>
      </c>
      <c r="BO67" s="26" t="e">
        <f t="shared" si="56"/>
        <v>#VALUE!</v>
      </c>
      <c r="BP67" s="26" t="e">
        <f t="shared" si="56"/>
        <v>#VALUE!</v>
      </c>
      <c r="BQ67" s="26" t="e">
        <f t="shared" si="56"/>
        <v>#VALUE!</v>
      </c>
      <c r="BR67" s="26" t="e">
        <f t="shared" si="56"/>
        <v>#VALUE!</v>
      </c>
      <c r="BS67" s="26" t="e">
        <f t="shared" si="56"/>
        <v>#VALUE!</v>
      </c>
      <c r="BT67" s="26" t="e">
        <f t="shared" si="56"/>
        <v>#VALUE!</v>
      </c>
      <c r="BU67" s="26" t="e">
        <f t="shared" si="56"/>
        <v>#VALUE!</v>
      </c>
      <c r="BV67" s="26">
        <f t="shared" si="56"/>
        <v>0.66447473322608164</v>
      </c>
      <c r="BW67" s="26">
        <f t="shared" si="56"/>
        <v>0.68753511004841905</v>
      </c>
      <c r="BX67" s="26">
        <f t="shared" si="56"/>
        <v>0.57564666836897471</v>
      </c>
      <c r="BY67" s="26">
        <f t="shared" si="56"/>
        <v>0.79519307535069239</v>
      </c>
      <c r="BZ67" s="26">
        <f t="shared" si="55"/>
        <v>0.39162793323669787</v>
      </c>
      <c r="CA67" s="26">
        <f t="shared" si="53"/>
        <v>0.34875805237548607</v>
      </c>
      <c r="CB67" s="26">
        <f t="shared" si="53"/>
        <v>0.39501146224022787</v>
      </c>
      <c r="CC67" s="26">
        <f t="shared" si="53"/>
        <v>0.20682385580462581</v>
      </c>
      <c r="CD67" s="26">
        <f t="shared" si="53"/>
        <v>0.20767242199048352</v>
      </c>
      <c r="CE67" s="26">
        <f t="shared" si="53"/>
        <v>-4.434765401411378E-2</v>
      </c>
      <c r="CF67" s="26">
        <f t="shared" si="53"/>
        <v>-0.16654112087666595</v>
      </c>
      <c r="CG67" s="26">
        <f t="shared" si="53"/>
        <v>-6.7419998645569912E-2</v>
      </c>
      <c r="CH67" s="26">
        <f t="shared" si="53"/>
        <v>-5.9478896418254767E-2</v>
      </c>
      <c r="CI67" s="26">
        <f t="shared" si="53"/>
        <v>-0.1593888114840385</v>
      </c>
      <c r="CJ67" s="26">
        <f t="shared" si="53"/>
        <v>-0.12282903762500685</v>
      </c>
      <c r="CK67" s="26">
        <f t="shared" si="53"/>
        <v>-3.5155744606270023E-2</v>
      </c>
      <c r="CL67" s="26">
        <f t="shared" si="53"/>
        <v>-2.522711746935169E-2</v>
      </c>
      <c r="CM67" s="26">
        <f t="shared" si="53"/>
        <v>-6.8318884503596577E-2</v>
      </c>
      <c r="CN67" s="26">
        <f t="shared" si="53"/>
        <v>-0.13770715261180289</v>
      </c>
      <c r="CO67" s="26"/>
    </row>
    <row r="68" spans="14:93" x14ac:dyDescent="0.2">
      <c r="N68" s="26">
        <f t="shared" si="54"/>
        <v>8.2482610903360509E-3</v>
      </c>
      <c r="O68" s="26">
        <f t="shared" si="54"/>
        <v>-1.6487804916311743E-2</v>
      </c>
      <c r="P68" s="26">
        <f t="shared" si="54"/>
        <v>-0.18515023277374199</v>
      </c>
      <c r="Q68" s="26">
        <f t="shared" si="54"/>
        <v>-0.21331908665193022</v>
      </c>
      <c r="R68" s="26">
        <f t="shared" si="54"/>
        <v>-0.35101872307547222</v>
      </c>
      <c r="S68" s="26">
        <f t="shared" si="54"/>
        <v>4.786792077368407E-2</v>
      </c>
      <c r="T68" s="26">
        <f t="shared" si="54"/>
        <v>-4.747582805247974E-2</v>
      </c>
      <c r="U68" s="26">
        <f t="shared" si="54"/>
        <v>2.8161438399714855E-2</v>
      </c>
      <c r="V68" s="26">
        <f t="shared" si="54"/>
        <v>0.13082411989694309</v>
      </c>
      <c r="W68" s="26">
        <f t="shared" si="54"/>
        <v>9.8578813260610909E-2</v>
      </c>
      <c r="X68" s="26">
        <f t="shared" si="54"/>
        <v>0.31520306208707116</v>
      </c>
      <c r="Y68" s="26">
        <f t="shared" si="54"/>
        <v>0.24701148039327392</v>
      </c>
      <c r="Z68" s="26">
        <f t="shared" si="54"/>
        <v>-0.11407635632499946</v>
      </c>
      <c r="AA68" s="26">
        <f t="shared" si="54"/>
        <v>0.29158585060871967</v>
      </c>
      <c r="AB68" s="26">
        <f t="shared" si="54"/>
        <v>0.42700508905142298</v>
      </c>
      <c r="AC68" s="26">
        <f t="shared" si="54"/>
        <v>0.97060355769111295</v>
      </c>
      <c r="AD68" s="26">
        <f t="shared" si="56"/>
        <v>0.54898231555685872</v>
      </c>
      <c r="AE68" s="26">
        <f t="shared" si="56"/>
        <v>0.20283174087192957</v>
      </c>
      <c r="AF68" s="26">
        <f t="shared" si="56"/>
        <v>0.1290387008031515</v>
      </c>
      <c r="AG68" s="26">
        <f t="shared" si="56"/>
        <v>0.12488446573547574</v>
      </c>
      <c r="AH68" s="26">
        <f t="shared" si="56"/>
        <v>0.13909593917093011</v>
      </c>
      <c r="AI68" s="26">
        <f t="shared" si="56"/>
        <v>3.6848137298304939E-2</v>
      </c>
      <c r="AJ68" s="26">
        <f t="shared" si="56"/>
        <v>0.13509694292284613</v>
      </c>
      <c r="AK68" s="26">
        <f t="shared" si="56"/>
        <v>3.1802746026163842E-3</v>
      </c>
      <c r="AL68" s="26">
        <f t="shared" si="56"/>
        <v>0.1470050689811131</v>
      </c>
      <c r="AM68" s="26">
        <f t="shared" si="56"/>
        <v>7.5229721298730734E-3</v>
      </c>
      <c r="AN68" s="26">
        <f t="shared" si="56"/>
        <v>4.1546872233919396E-2</v>
      </c>
      <c r="AO68" s="26">
        <f t="shared" si="56"/>
        <v>-4.1753246311947434E-3</v>
      </c>
      <c r="AP68" s="26">
        <f t="shared" si="56"/>
        <v>0.30014747677695697</v>
      </c>
      <c r="AQ68" s="26">
        <f t="shared" si="56"/>
        <v>0.13855852129037483</v>
      </c>
      <c r="AR68" s="26">
        <f t="shared" si="56"/>
        <v>0.27714803152315937</v>
      </c>
      <c r="AS68" s="26">
        <f t="shared" si="56"/>
        <v>7.0299134796257601E-2</v>
      </c>
      <c r="AT68" s="26">
        <f t="shared" si="56"/>
        <v>-9.0544537845848483E-2</v>
      </c>
      <c r="AU68" s="26">
        <f t="shared" si="56"/>
        <v>-0.11038566372035852</v>
      </c>
      <c r="AV68" s="26">
        <f t="shared" si="56"/>
        <v>-4.8823594823018901E-2</v>
      </c>
      <c r="AW68" s="26">
        <f t="shared" si="56"/>
        <v>-2.4662793419547135E-2</v>
      </c>
      <c r="AX68" s="26">
        <f t="shared" si="56"/>
        <v>7.0023688187326183E-2</v>
      </c>
      <c r="AY68" s="26">
        <f t="shared" si="56"/>
        <v>-8.0203342662604538E-2</v>
      </c>
      <c r="AZ68" s="26">
        <f t="shared" si="56"/>
        <v>-5.7796762725588202E-3</v>
      </c>
      <c r="BA68" s="26">
        <f t="shared" si="56"/>
        <v>-0.12976503647934645</v>
      </c>
      <c r="BB68" s="26">
        <f t="shared" si="56"/>
        <v>-0.15949829442781116</v>
      </c>
      <c r="BC68" s="26">
        <f t="shared" si="56"/>
        <v>-0.15222342850530635</v>
      </c>
      <c r="BD68" s="26">
        <f t="shared" si="56"/>
        <v>-9.964987702162742E-2</v>
      </c>
      <c r="BE68" s="26">
        <f t="shared" si="56"/>
        <v>-8.1511336497211317E-2</v>
      </c>
      <c r="BF68" s="26">
        <f t="shared" si="56"/>
        <v>-8.8148796914115257E-2</v>
      </c>
      <c r="BG68" s="26">
        <f t="shared" si="56"/>
        <v>0.12743539962644679</v>
      </c>
      <c r="BH68" s="26">
        <f t="shared" si="56"/>
        <v>8.0587913402823785E-2</v>
      </c>
      <c r="BI68" s="26">
        <f t="shared" si="56"/>
        <v>-0.17280687973428699</v>
      </c>
      <c r="BJ68" s="26">
        <f t="shared" si="56"/>
        <v>-0.43802990264802777</v>
      </c>
      <c r="BK68" s="26">
        <f t="shared" si="56"/>
        <v>-0.30477436081748654</v>
      </c>
      <c r="BL68" s="26">
        <f t="shared" si="56"/>
        <v>-0.16847593283061368</v>
      </c>
      <c r="BM68" s="26">
        <f t="shared" si="56"/>
        <v>-0.26795042800459001</v>
      </c>
      <c r="BN68" s="26">
        <f t="shared" si="56"/>
        <v>-0.20667800474480658</v>
      </c>
      <c r="BO68" s="26">
        <f t="shared" si="56"/>
        <v>7.2388792121104162E-2</v>
      </c>
      <c r="BP68" s="26">
        <f t="shared" si="56"/>
        <v>-2.7374999999807414E-4</v>
      </c>
      <c r="BQ68" s="26">
        <f t="shared" si="56"/>
        <v>-3.2227327111520987E-2</v>
      </c>
      <c r="BR68" s="26">
        <f t="shared" si="56"/>
        <v>0.16377904289791245</v>
      </c>
      <c r="BS68" s="26">
        <f t="shared" si="56"/>
        <v>5.733606950597836E-2</v>
      </c>
      <c r="BT68" s="26">
        <f t="shared" si="56"/>
        <v>5.5755659058644991E-3</v>
      </c>
      <c r="BU68" s="26">
        <f t="shared" si="56"/>
        <v>0.42532120512554239</v>
      </c>
      <c r="BV68" s="26">
        <f t="shared" si="56"/>
        <v>0.89150574675663274</v>
      </c>
      <c r="BW68" s="26">
        <f t="shared" si="56"/>
        <v>0.64735852288680795</v>
      </c>
      <c r="BX68" s="26">
        <f t="shared" si="56"/>
        <v>0.33917033860223222</v>
      </c>
      <c r="BY68" s="26">
        <f t="shared" si="56"/>
        <v>0.63173505627301685</v>
      </c>
      <c r="BZ68" s="26">
        <f t="shared" si="55"/>
        <v>0.28909746122565583</v>
      </c>
      <c r="CA68" s="26">
        <f t="shared" si="53"/>
        <v>0.21438427318343312</v>
      </c>
      <c r="CB68" s="26">
        <f t="shared" si="53"/>
        <v>0.13504305693401197</v>
      </c>
      <c r="CC68" s="26">
        <f t="shared" si="53"/>
        <v>0.16481703866406705</v>
      </c>
      <c r="CD68" s="26">
        <f t="shared" si="53"/>
        <v>0.14561981953791636</v>
      </c>
      <c r="CE68" s="26">
        <f t="shared" si="53"/>
        <v>3.7560267409845638E-2</v>
      </c>
      <c r="CF68" s="26">
        <f t="shared" si="53"/>
        <v>4.5527116874469087E-2</v>
      </c>
      <c r="CG68" s="26">
        <f t="shared" si="53"/>
        <v>-3.0783788373000442E-2</v>
      </c>
      <c r="CH68" s="26">
        <f t="shared" si="53"/>
        <v>-8.5994567622360352E-2</v>
      </c>
      <c r="CI68" s="26">
        <f t="shared" si="53"/>
        <v>4.4732136798180777E-2</v>
      </c>
      <c r="CJ68" s="26">
        <f t="shared" si="53"/>
        <v>-2.7671328143217155E-2</v>
      </c>
      <c r="CK68" s="26">
        <f t="shared" si="53"/>
        <v>-8.8957558889737109E-2</v>
      </c>
      <c r="CL68" s="26">
        <f t="shared" si="53"/>
        <v>3.3674805687525566E-2</v>
      </c>
      <c r="CM68" s="26">
        <f t="shared" si="53"/>
        <v>-0.10663277813220517</v>
      </c>
      <c r="CN68" s="26">
        <f t="shared" si="53"/>
        <v>-0.10271071564446099</v>
      </c>
      <c r="CO68" s="26"/>
    </row>
    <row r="69" spans="14:93" x14ac:dyDescent="0.2">
      <c r="N69" s="26">
        <f t="shared" si="54"/>
        <v>-0.21963948612384421</v>
      </c>
      <c r="O69" s="26">
        <f t="shared" si="54"/>
        <v>-0.36527655551143556</v>
      </c>
      <c r="P69" s="26">
        <f t="shared" si="54"/>
        <v>-0.228510804588831</v>
      </c>
      <c r="Q69" s="26">
        <f t="shared" si="54"/>
        <v>-0.4851347463299176</v>
      </c>
      <c r="R69" s="26">
        <f t="shared" si="54"/>
        <v>-0.72348133698161177</v>
      </c>
      <c r="S69" s="26">
        <f t="shared" si="54"/>
        <v>-0.26354922898589539</v>
      </c>
      <c r="T69" s="26">
        <f t="shared" si="54"/>
        <v>-0.16312766368200193</v>
      </c>
      <c r="U69" s="26">
        <f t="shared" si="54"/>
        <v>-0.24408485696977555</v>
      </c>
      <c r="V69" s="26">
        <f t="shared" si="54"/>
        <v>-5.1861833443629934E-2</v>
      </c>
      <c r="W69" s="26">
        <f t="shared" si="54"/>
        <v>0.13969786700552977</v>
      </c>
      <c r="X69" s="26">
        <f t="shared" si="54"/>
        <v>9.9053848572737468E-2</v>
      </c>
      <c r="Y69" s="26">
        <f t="shared" si="54"/>
        <v>6.585024915254345E-2</v>
      </c>
      <c r="Z69" s="26">
        <f t="shared" si="54"/>
        <v>0.18886572277223079</v>
      </c>
      <c r="AA69" s="26">
        <f t="shared" si="54"/>
        <v>-4.0714497136187577E-2</v>
      </c>
      <c r="AB69" s="26">
        <f t="shared" si="54"/>
        <v>0.18070386326415666</v>
      </c>
      <c r="AC69" s="26">
        <f t="shared" si="54"/>
        <v>1.1367053965792762</v>
      </c>
      <c r="AD69" s="26">
        <f t="shared" si="56"/>
        <v>1.3819803258599475</v>
      </c>
      <c r="AE69" s="26">
        <f t="shared" si="56"/>
        <v>0.30254279458399225</v>
      </c>
      <c r="AF69" s="26">
        <f t="shared" si="56"/>
        <v>0.23212972216045635</v>
      </c>
      <c r="AG69" s="26">
        <f t="shared" si="56"/>
        <v>0.19270046222030568</v>
      </c>
      <c r="AH69" s="26">
        <f t="shared" si="56"/>
        <v>0.30274788273787467</v>
      </c>
      <c r="AI69" s="26">
        <f t="shared" si="56"/>
        <v>0.26915370144157569</v>
      </c>
      <c r="AJ69" s="26">
        <f t="shared" si="56"/>
        <v>0.2043840344573582</v>
      </c>
      <c r="AK69" s="26">
        <f t="shared" si="56"/>
        <v>0.18621350832693362</v>
      </c>
      <c r="AL69" s="26">
        <f t="shared" si="56"/>
        <v>9.5400045552921586E-2</v>
      </c>
      <c r="AM69" s="26">
        <f t="shared" si="56"/>
        <v>0.13925325785325038</v>
      </c>
      <c r="AN69" s="26">
        <f t="shared" si="56"/>
        <v>0.2858346995663521</v>
      </c>
      <c r="AO69" s="26">
        <f t="shared" si="56"/>
        <v>1.0930011839973774E-2</v>
      </c>
      <c r="AP69" s="26">
        <f t="shared" si="56"/>
        <v>9.5986813887932954E-2</v>
      </c>
      <c r="AQ69" s="26">
        <f t="shared" si="56"/>
        <v>0.34175523480922787</v>
      </c>
      <c r="AR69" s="26">
        <f t="shared" si="56"/>
        <v>0.17679484507171939</v>
      </c>
      <c r="AS69" s="26">
        <f t="shared" si="56"/>
        <v>0.40221505170916694</v>
      </c>
      <c r="AT69" s="26">
        <f t="shared" si="56"/>
        <v>0.17152239272190251</v>
      </c>
      <c r="AU69" s="26">
        <f t="shared" si="56"/>
        <v>-1.8681899791794909E-2</v>
      </c>
      <c r="AV69" s="26">
        <f t="shared" si="56"/>
        <v>1.3503577144218681E-2</v>
      </c>
      <c r="AW69" s="26">
        <f t="shared" si="56"/>
        <v>0.30340639728916097</v>
      </c>
      <c r="AX69" s="26">
        <f t="shared" si="56"/>
        <v>5.226311447378329E-2</v>
      </c>
      <c r="AY69" s="26">
        <f t="shared" si="56"/>
        <v>0.16025575773303613</v>
      </c>
      <c r="AZ69" s="26">
        <f t="shared" si="56"/>
        <v>0.13917902529603476</v>
      </c>
      <c r="BA69" s="26">
        <f t="shared" si="56"/>
        <v>0.17195355467192375</v>
      </c>
      <c r="BB69" s="26">
        <f t="shared" si="56"/>
        <v>-2.4028845623819128E-2</v>
      </c>
      <c r="BC69" s="26">
        <f t="shared" si="56"/>
        <v>-7.103626424412568E-2</v>
      </c>
      <c r="BD69" s="26">
        <f t="shared" si="56"/>
        <v>-4.3808418740165389E-2</v>
      </c>
      <c r="BE69" s="26">
        <f t="shared" si="56"/>
        <v>-0.18420542249713867</v>
      </c>
      <c r="BF69" s="26">
        <f t="shared" si="56"/>
        <v>-0.21258074329341725</v>
      </c>
      <c r="BG69" s="26">
        <f t="shared" si="56"/>
        <v>-0.18767292828633741</v>
      </c>
      <c r="BH69" s="26">
        <f t="shared" si="56"/>
        <v>-0.15997783498287133</v>
      </c>
      <c r="BI69" s="26">
        <f t="shared" si="56"/>
        <v>-0.45070068369009242</v>
      </c>
      <c r="BJ69" s="26">
        <f t="shared" si="56"/>
        <v>-0.47215968988263946</v>
      </c>
      <c r="BK69" s="26">
        <f t="shared" si="56"/>
        <v>-0.49897599762099243</v>
      </c>
      <c r="BL69" s="26">
        <f t="shared" si="56"/>
        <v>-0.526928664163826</v>
      </c>
      <c r="BM69" s="26">
        <f t="shared" si="56"/>
        <v>-0.50862753399673266</v>
      </c>
      <c r="BN69" s="26">
        <f t="shared" si="56"/>
        <v>-0.33438100837258999</v>
      </c>
      <c r="BO69" s="26">
        <f t="shared" si="56"/>
        <v>-0.32976534099495902</v>
      </c>
      <c r="BP69" s="26">
        <f t="shared" si="56"/>
        <v>-0.31789524760728183</v>
      </c>
      <c r="BQ69" s="26">
        <f t="shared" si="56"/>
        <v>-0.12817949352176627</v>
      </c>
      <c r="BR69" s="26">
        <f t="shared" si="56"/>
        <v>-6.6374412576425401E-2</v>
      </c>
      <c r="BS69" s="26">
        <f t="shared" si="56"/>
        <v>2.9333993672847392E-2</v>
      </c>
      <c r="BT69" s="26">
        <f t="shared" si="56"/>
        <v>6.7731177165162748E-2</v>
      </c>
      <c r="BU69" s="26">
        <f t="shared" si="56"/>
        <v>0.50188496793241</v>
      </c>
      <c r="BV69" s="26">
        <f t="shared" si="56"/>
        <v>0.5918151102862963</v>
      </c>
      <c r="BW69" s="26">
        <f t="shared" si="56"/>
        <v>0.97093011572500121</v>
      </c>
      <c r="BX69" s="26">
        <f t="shared" si="56"/>
        <v>0.7974273906412932</v>
      </c>
      <c r="BY69" s="26">
        <f t="shared" si="56"/>
        <v>0.8616425538968906</v>
      </c>
      <c r="BZ69" s="26">
        <f t="shared" si="55"/>
        <v>0.76323820867222847</v>
      </c>
      <c r="CA69" s="26">
        <f t="shared" si="53"/>
        <v>0.70674790990326475</v>
      </c>
      <c r="CB69" s="26">
        <f t="shared" si="53"/>
        <v>0.77179989866047571</v>
      </c>
      <c r="CC69" s="26">
        <f t="shared" si="53"/>
        <v>0.30225224457334265</v>
      </c>
      <c r="CD69" s="26">
        <f t="shared" si="53"/>
        <v>0.19975741295204563</v>
      </c>
      <c r="CE69" s="26">
        <f t="shared" si="53"/>
        <v>3.4808772519339115E-2</v>
      </c>
      <c r="CF69" s="26">
        <f t="shared" si="53"/>
        <v>4.1716997781851006E-3</v>
      </c>
      <c r="CG69" s="26">
        <f t="shared" si="53"/>
        <v>-0.15562217685949897</v>
      </c>
      <c r="CH69" s="26">
        <f t="shared" si="53"/>
        <v>5.696763459377352E-2</v>
      </c>
      <c r="CI69" s="26">
        <f t="shared" si="53"/>
        <v>-0.20317825245412835</v>
      </c>
      <c r="CJ69" s="26">
        <f t="shared" si="53"/>
        <v>-0.11209886124451218</v>
      </c>
      <c r="CK69" s="26">
        <f t="shared" si="53"/>
        <v>2.1778065990947226E-3</v>
      </c>
      <c r="CL69" s="26">
        <f t="shared" si="53"/>
        <v>-0.31692101982686438</v>
      </c>
      <c r="CM69" s="26">
        <f t="shared" si="53"/>
        <v>-0.24999134974758108</v>
      </c>
      <c r="CN69" s="26">
        <f t="shared" si="53"/>
        <v>-0.30863425690549817</v>
      </c>
      <c r="CO69" s="26"/>
    </row>
    <row r="70" spans="14:93" x14ac:dyDescent="0.2">
      <c r="N70" s="26">
        <f t="shared" si="54"/>
        <v>-0.27122360752014063</v>
      </c>
      <c r="O70" s="26">
        <f t="shared" si="54"/>
        <v>-0.12524132117717779</v>
      </c>
      <c r="P70" s="26">
        <f t="shared" si="54"/>
        <v>-0.33296630801858351</v>
      </c>
      <c r="Q70" s="26">
        <f t="shared" si="54"/>
        <v>-0.69701397145325139</v>
      </c>
      <c r="R70" s="26">
        <f t="shared" si="54"/>
        <v>-0.36829146419638503</v>
      </c>
      <c r="S70" s="26">
        <f t="shared" si="54"/>
        <v>-0.31113353705859115</v>
      </c>
      <c r="T70" s="26">
        <f t="shared" si="54"/>
        <v>-0.4930950500925495</v>
      </c>
      <c r="U70" s="26">
        <f t="shared" si="54"/>
        <v>-0.63352305759963556</v>
      </c>
      <c r="V70" s="26">
        <f t="shared" si="54"/>
        <v>-0.48325001229191</v>
      </c>
      <c r="W70" s="26">
        <f t="shared" si="54"/>
        <v>-2.8800742546754909E-2</v>
      </c>
      <c r="X70" s="26">
        <f t="shared" si="54"/>
        <v>7.8318464160834989E-2</v>
      </c>
      <c r="Y70" s="26">
        <f t="shared" si="54"/>
        <v>0.21870791012610735</v>
      </c>
      <c r="Z70" s="26">
        <f t="shared" si="54"/>
        <v>0.16877582806049229</v>
      </c>
      <c r="AA70" s="26">
        <f t="shared" si="54"/>
        <v>0.2317949875708365</v>
      </c>
      <c r="AB70" s="26">
        <f t="shared" si="54"/>
        <v>0.84414371935177179</v>
      </c>
      <c r="AC70" s="26">
        <f t="shared" si="54"/>
        <v>2.4063024344872992</v>
      </c>
      <c r="AD70" s="26">
        <f t="shared" si="56"/>
        <v>0.88254774494922006</v>
      </c>
      <c r="AE70" s="26">
        <f t="shared" si="56"/>
        <v>0.81792569654576419</v>
      </c>
      <c r="AF70" s="26">
        <f t="shared" si="56"/>
        <v>1.1956523175606932</v>
      </c>
      <c r="AG70" s="26">
        <f t="shared" si="56"/>
        <v>0.72414001479263312</v>
      </c>
      <c r="AH70" s="26">
        <f t="shared" si="56"/>
        <v>0.98545664276120704</v>
      </c>
      <c r="AI70" s="26">
        <f t="shared" si="56"/>
        <v>-2.5485556780637797E-3</v>
      </c>
      <c r="AJ70" s="26">
        <f t="shared" si="56"/>
        <v>0.13487456889774418</v>
      </c>
      <c r="AK70" s="26">
        <f t="shared" si="56"/>
        <v>0.10289369598632936</v>
      </c>
      <c r="AL70" s="26">
        <f t="shared" si="56"/>
        <v>2.4091259485168326E-2</v>
      </c>
      <c r="AM70" s="26">
        <f t="shared" si="56"/>
        <v>-0.18172214098613027</v>
      </c>
      <c r="AN70" s="26">
        <f t="shared" si="56"/>
        <v>-0.12496195294580204</v>
      </c>
      <c r="AO70" s="26">
        <f t="shared" si="56"/>
        <v>-0.16854692654980963</v>
      </c>
      <c r="AP70" s="26">
        <f t="shared" si="56"/>
        <v>-0.13279096976154137</v>
      </c>
      <c r="AQ70" s="26">
        <f t="shared" si="56"/>
        <v>-0.16136431897576098</v>
      </c>
      <c r="AR70" s="26">
        <f t="shared" si="56"/>
        <v>-8.0937588617152501E-2</v>
      </c>
      <c r="AS70" s="26">
        <f t="shared" ref="AS70:BY77" si="57">AS43/AG43-1</f>
        <v>7.6076717319193188E-2</v>
      </c>
      <c r="AT70" s="26">
        <f t="shared" si="57"/>
        <v>-0.2316423359902986</v>
      </c>
      <c r="AU70" s="26">
        <f t="shared" si="57"/>
        <v>-0.12753806331431172</v>
      </c>
      <c r="AV70" s="26">
        <f t="shared" si="57"/>
        <v>4.9607250368270961E-3</v>
      </c>
      <c r="AW70" s="26">
        <f t="shared" si="57"/>
        <v>-0.16151224079087467</v>
      </c>
      <c r="AX70" s="26">
        <f t="shared" si="57"/>
        <v>0.24711409561043851</v>
      </c>
      <c r="AY70" s="26">
        <f t="shared" si="57"/>
        <v>0.19311630754695464</v>
      </c>
      <c r="AZ70" s="26">
        <f t="shared" si="57"/>
        <v>-0.12945471098706085</v>
      </c>
      <c r="BA70" s="26">
        <f t="shared" si="57"/>
        <v>3.2688721841844348E-2</v>
      </c>
      <c r="BB70" s="26">
        <f t="shared" si="57"/>
        <v>0.14639687684694436</v>
      </c>
      <c r="BC70" s="26">
        <f t="shared" si="57"/>
        <v>1.3864248130058598E-2</v>
      </c>
      <c r="BD70" s="26">
        <f t="shared" si="57"/>
        <v>-8.0157190621745422E-2</v>
      </c>
      <c r="BE70" s="26">
        <f t="shared" si="57"/>
        <v>-8.3103282340445173E-2</v>
      </c>
      <c r="BF70" s="26">
        <f t="shared" si="57"/>
        <v>-7.1842079378350299E-3</v>
      </c>
      <c r="BG70" s="26">
        <f t="shared" si="57"/>
        <v>0.15301989541104577</v>
      </c>
      <c r="BH70" s="26">
        <f t="shared" si="57"/>
        <v>-0.11012429339587371</v>
      </c>
      <c r="BI70" s="26">
        <f t="shared" si="57"/>
        <v>-0.21677724610885007</v>
      </c>
      <c r="BJ70" s="26">
        <f t="shared" si="57"/>
        <v>-0.1979017381788245</v>
      </c>
      <c r="BK70" s="26">
        <f t="shared" si="57"/>
        <v>-0.34960840824636286</v>
      </c>
      <c r="BL70" s="26">
        <f t="shared" si="57"/>
        <v>-0.31061258238932388</v>
      </c>
      <c r="BM70" s="26">
        <f t="shared" si="57"/>
        <v>-0.31836523776832737</v>
      </c>
      <c r="BN70" s="26">
        <f t="shared" si="57"/>
        <v>-0.31722575545790577</v>
      </c>
      <c r="BO70" s="26">
        <f t="shared" si="57"/>
        <v>-3.4333349887521014E-2</v>
      </c>
      <c r="BP70" s="26">
        <f t="shared" si="57"/>
        <v>0.24408644475058461</v>
      </c>
      <c r="BQ70" s="26">
        <f t="shared" si="57"/>
        <v>-0.18231643763895933</v>
      </c>
      <c r="BR70" s="26">
        <f t="shared" si="57"/>
        <v>0.24277115680848471</v>
      </c>
      <c r="BS70" s="26">
        <f t="shared" si="57"/>
        <v>5.6639227569381667E-2</v>
      </c>
      <c r="BT70" s="26">
        <f t="shared" si="57"/>
        <v>0.22630657412315514</v>
      </c>
      <c r="BU70" s="26">
        <f t="shared" si="57"/>
        <v>0.5326499830605953</v>
      </c>
      <c r="BV70" s="26">
        <f t="shared" si="57"/>
        <v>0.42864208122211389</v>
      </c>
      <c r="BW70" s="26">
        <f t="shared" si="57"/>
        <v>0.57116469190007813</v>
      </c>
      <c r="BX70" s="26">
        <f t="shared" si="57"/>
        <v>0.49800753591445956</v>
      </c>
      <c r="BY70" s="26">
        <f t="shared" si="57"/>
        <v>0.97203927765325182</v>
      </c>
      <c r="BZ70" s="26">
        <f t="shared" si="55"/>
        <v>0.57701501050593573</v>
      </c>
      <c r="CA70" s="26">
        <f t="shared" si="53"/>
        <v>0.40490401979786173</v>
      </c>
      <c r="CB70" s="26">
        <f t="shared" si="53"/>
        <v>0.16311177650733533</v>
      </c>
      <c r="CC70" s="26">
        <f t="shared" si="53"/>
        <v>0.30457012763827507</v>
      </c>
      <c r="CD70" s="26">
        <f t="shared" si="53"/>
        <v>0.10510052275039938</v>
      </c>
      <c r="CE70" s="26">
        <f t="shared" si="53"/>
        <v>0.18988049721044997</v>
      </c>
      <c r="CF70" s="26">
        <f t="shared" si="53"/>
        <v>7.3318871449644885E-2</v>
      </c>
      <c r="CG70" s="26">
        <f t="shared" si="53"/>
        <v>-4.0816052537396619E-2</v>
      </c>
      <c r="CH70" s="26">
        <f t="shared" si="53"/>
        <v>-8.5359426101377922E-2</v>
      </c>
      <c r="CI70" s="26">
        <f t="shared" si="53"/>
        <v>0.12587167894009621</v>
      </c>
      <c r="CJ70" s="26">
        <f t="shared" si="53"/>
        <v>2.2678222642729784E-2</v>
      </c>
      <c r="CK70" s="26">
        <f t="shared" si="53"/>
        <v>-0.16376253731536283</v>
      </c>
      <c r="CL70" s="26">
        <f t="shared" si="53"/>
        <v>-0.13686221345058436</v>
      </c>
      <c r="CM70" s="26">
        <f t="shared" si="53"/>
        <v>-0.17038105604331466</v>
      </c>
      <c r="CN70" s="26">
        <f t="shared" si="53"/>
        <v>-0.22935684844641335</v>
      </c>
      <c r="CO70" s="26"/>
    </row>
    <row r="71" spans="14:93" x14ac:dyDescent="0.2">
      <c r="N71" s="26" t="e">
        <f t="shared" si="54"/>
        <v>#VALUE!</v>
      </c>
      <c r="O71" s="26" t="e">
        <f t="shared" si="54"/>
        <v>#VALUE!</v>
      </c>
      <c r="P71" s="26" t="e">
        <f t="shared" si="54"/>
        <v>#VALUE!</v>
      </c>
      <c r="Q71" s="26" t="e">
        <f t="shared" si="54"/>
        <v>#VALUE!</v>
      </c>
      <c r="R71" s="26" t="e">
        <f t="shared" si="54"/>
        <v>#VALUE!</v>
      </c>
      <c r="S71" s="26" t="e">
        <f t="shared" si="54"/>
        <v>#VALUE!</v>
      </c>
      <c r="T71" s="26" t="e">
        <f t="shared" si="54"/>
        <v>#VALUE!</v>
      </c>
      <c r="U71" s="26" t="e">
        <f t="shared" si="54"/>
        <v>#VALUE!</v>
      </c>
      <c r="V71" s="26" t="e">
        <f t="shared" si="54"/>
        <v>#VALUE!</v>
      </c>
      <c r="W71" s="26" t="e">
        <f t="shared" si="54"/>
        <v>#VALUE!</v>
      </c>
      <c r="X71" s="26" t="e">
        <f t="shared" si="54"/>
        <v>#VALUE!</v>
      </c>
      <c r="Y71" s="26" t="e">
        <f t="shared" si="54"/>
        <v>#VALUE!</v>
      </c>
      <c r="Z71" s="26" t="e">
        <f t="shared" si="54"/>
        <v>#VALUE!</v>
      </c>
      <c r="AA71" s="26" t="e">
        <f t="shared" si="54"/>
        <v>#VALUE!</v>
      </c>
      <c r="AB71" s="26" t="e">
        <f t="shared" si="54"/>
        <v>#VALUE!</v>
      </c>
      <c r="AC71" s="26" t="e">
        <f t="shared" si="54"/>
        <v>#VALUE!</v>
      </c>
      <c r="AD71" s="26" t="e">
        <f t="shared" ref="AD71:AS85" si="58">AD44/R44-1</f>
        <v>#VALUE!</v>
      </c>
      <c r="AE71" s="26" t="e">
        <f t="shared" si="58"/>
        <v>#VALUE!</v>
      </c>
      <c r="AF71" s="26" t="e">
        <f t="shared" si="58"/>
        <v>#VALUE!</v>
      </c>
      <c r="AG71" s="26" t="e">
        <f t="shared" si="58"/>
        <v>#VALUE!</v>
      </c>
      <c r="AH71" s="26" t="e">
        <f t="shared" si="58"/>
        <v>#VALUE!</v>
      </c>
      <c r="AI71" s="26" t="e">
        <f t="shared" si="58"/>
        <v>#VALUE!</v>
      </c>
      <c r="AJ71" s="26" t="e">
        <f t="shared" si="58"/>
        <v>#VALUE!</v>
      </c>
      <c r="AK71" s="26" t="e">
        <f t="shared" si="58"/>
        <v>#VALUE!</v>
      </c>
      <c r="AL71" s="26" t="e">
        <f t="shared" si="58"/>
        <v>#VALUE!</v>
      </c>
      <c r="AM71" s="26" t="e">
        <f t="shared" si="58"/>
        <v>#VALUE!</v>
      </c>
      <c r="AN71" s="26" t="e">
        <f t="shared" si="58"/>
        <v>#VALUE!</v>
      </c>
      <c r="AO71" s="26" t="e">
        <f t="shared" si="58"/>
        <v>#VALUE!</v>
      </c>
      <c r="AP71" s="26" t="e">
        <f t="shared" si="58"/>
        <v>#VALUE!</v>
      </c>
      <c r="AQ71" s="26" t="e">
        <f t="shared" si="58"/>
        <v>#VALUE!</v>
      </c>
      <c r="AR71" s="26" t="e">
        <f t="shared" si="58"/>
        <v>#VALUE!</v>
      </c>
      <c r="AS71" s="26" t="e">
        <f t="shared" si="57"/>
        <v>#VALUE!</v>
      </c>
      <c r="AT71" s="26" t="e">
        <f t="shared" si="57"/>
        <v>#VALUE!</v>
      </c>
      <c r="AU71" s="26" t="e">
        <f t="shared" si="57"/>
        <v>#VALUE!</v>
      </c>
      <c r="AV71" s="26" t="e">
        <f t="shared" si="57"/>
        <v>#VALUE!</v>
      </c>
      <c r="AW71" s="26" t="e">
        <f t="shared" si="57"/>
        <v>#VALUE!</v>
      </c>
      <c r="AX71" s="26" t="e">
        <f t="shared" si="57"/>
        <v>#VALUE!</v>
      </c>
      <c r="AY71" s="26" t="e">
        <f t="shared" si="57"/>
        <v>#VALUE!</v>
      </c>
      <c r="AZ71" s="26" t="e">
        <f t="shared" si="57"/>
        <v>#VALUE!</v>
      </c>
      <c r="BA71" s="26" t="e">
        <f t="shared" si="57"/>
        <v>#VALUE!</v>
      </c>
      <c r="BB71" s="26" t="e">
        <f t="shared" si="57"/>
        <v>#VALUE!</v>
      </c>
      <c r="BC71" s="26" t="e">
        <f t="shared" si="57"/>
        <v>#VALUE!</v>
      </c>
      <c r="BD71" s="26" t="e">
        <f t="shared" si="57"/>
        <v>#VALUE!</v>
      </c>
      <c r="BE71" s="26" t="e">
        <f t="shared" si="57"/>
        <v>#VALUE!</v>
      </c>
      <c r="BF71" s="26" t="e">
        <f t="shared" si="57"/>
        <v>#VALUE!</v>
      </c>
      <c r="BG71" s="26" t="e">
        <f t="shared" si="57"/>
        <v>#VALUE!</v>
      </c>
      <c r="BH71" s="26" t="e">
        <f t="shared" si="57"/>
        <v>#VALUE!</v>
      </c>
      <c r="BI71" s="26" t="e">
        <f t="shared" si="57"/>
        <v>#VALUE!</v>
      </c>
      <c r="BJ71" s="26" t="e">
        <f t="shared" si="57"/>
        <v>#VALUE!</v>
      </c>
      <c r="BK71" s="26" t="e">
        <f t="shared" si="57"/>
        <v>#VALUE!</v>
      </c>
      <c r="BL71" s="26" t="e">
        <f t="shared" si="57"/>
        <v>#VALUE!</v>
      </c>
      <c r="BM71" s="26" t="e">
        <f t="shared" si="57"/>
        <v>#VALUE!</v>
      </c>
      <c r="BN71" s="26" t="e">
        <f t="shared" si="57"/>
        <v>#VALUE!</v>
      </c>
      <c r="BO71" s="26" t="e">
        <f t="shared" si="57"/>
        <v>#VALUE!</v>
      </c>
      <c r="BP71" s="26" t="e">
        <f t="shared" si="57"/>
        <v>#VALUE!</v>
      </c>
      <c r="BQ71" s="26" t="e">
        <f t="shared" si="57"/>
        <v>#VALUE!</v>
      </c>
      <c r="BR71" s="26" t="e">
        <f t="shared" si="57"/>
        <v>#VALUE!</v>
      </c>
      <c r="BS71" s="26" t="e">
        <f t="shared" si="57"/>
        <v>#VALUE!</v>
      </c>
      <c r="BT71" s="26" t="e">
        <f t="shared" si="57"/>
        <v>#VALUE!</v>
      </c>
      <c r="BU71" s="26" t="e">
        <f t="shared" si="57"/>
        <v>#VALUE!</v>
      </c>
      <c r="BV71" s="26">
        <f t="shared" si="57"/>
        <v>0.35182880074123424</v>
      </c>
      <c r="BW71" s="26">
        <f t="shared" si="57"/>
        <v>0.39119465295444344</v>
      </c>
      <c r="BX71" s="26">
        <f t="shared" si="57"/>
        <v>0.64625135857160365</v>
      </c>
      <c r="BY71" s="26">
        <f t="shared" si="57"/>
        <v>0.7939110243983698</v>
      </c>
      <c r="BZ71" s="26">
        <f t="shared" si="55"/>
        <v>0.30651796631084727</v>
      </c>
      <c r="CA71" s="26">
        <f t="shared" si="53"/>
        <v>0.40271697597924216</v>
      </c>
      <c r="CB71" s="26">
        <f t="shared" si="53"/>
        <v>0.15519606853124412</v>
      </c>
      <c r="CC71" s="26">
        <f t="shared" si="53"/>
        <v>0.12157360908476744</v>
      </c>
      <c r="CD71" s="26">
        <f t="shared" si="53"/>
        <v>0.44574768224926875</v>
      </c>
      <c r="CE71" s="26">
        <f t="shared" si="53"/>
        <v>0.35866048187071042</v>
      </c>
      <c r="CF71" s="26">
        <f t="shared" si="53"/>
        <v>4.5699980115614824E-2</v>
      </c>
      <c r="CG71" s="26">
        <f t="shared" si="53"/>
        <v>0.41077486748797254</v>
      </c>
      <c r="CH71" s="26">
        <f t="shared" si="53"/>
        <v>6.009687638664496E-2</v>
      </c>
      <c r="CI71" s="26">
        <f t="shared" si="53"/>
        <v>-0.57700848486849199</v>
      </c>
      <c r="CJ71" s="26">
        <f t="shared" si="53"/>
        <v>0.51499887020277368</v>
      </c>
      <c r="CK71" s="26">
        <f t="shared" si="53"/>
        <v>0.11371643682043553</v>
      </c>
      <c r="CL71" s="26">
        <f t="shared" si="53"/>
        <v>6.9089557330043183E-2</v>
      </c>
      <c r="CM71" s="26">
        <f t="shared" si="53"/>
        <v>1.4135389482631711E-2</v>
      </c>
      <c r="CN71" s="26">
        <f t="shared" si="53"/>
        <v>0.2243122737826293</v>
      </c>
      <c r="CO71" s="26"/>
    </row>
    <row r="72" spans="14:93" x14ac:dyDescent="0.2">
      <c r="N72" s="26">
        <f t="shared" si="54"/>
        <v>-0.24395298458708736</v>
      </c>
      <c r="O72" s="26">
        <f t="shared" si="54"/>
        <v>-0.13323768446285034</v>
      </c>
      <c r="P72" s="26">
        <f t="shared" si="54"/>
        <v>-0.23373402488233608</v>
      </c>
      <c r="Q72" s="26">
        <f t="shared" si="54"/>
        <v>-0.37751030431448029</v>
      </c>
      <c r="R72" s="26">
        <f t="shared" si="54"/>
        <v>-0.44745968929561686</v>
      </c>
      <c r="S72" s="26">
        <f t="shared" si="54"/>
        <v>-0.261359916722681</v>
      </c>
      <c r="T72" s="26">
        <f t="shared" si="54"/>
        <v>-6.1291140879075723E-2</v>
      </c>
      <c r="U72" s="26">
        <f t="shared" si="54"/>
        <v>-0.29340138913609748</v>
      </c>
      <c r="V72" s="26">
        <f t="shared" si="54"/>
        <v>-7.2399566036183138E-3</v>
      </c>
      <c r="W72" s="26">
        <f t="shared" si="54"/>
        <v>-8.8227299451958285E-2</v>
      </c>
      <c r="X72" s="26">
        <f t="shared" si="54"/>
        <v>0.11073479447689727</v>
      </c>
      <c r="Y72" s="26">
        <f t="shared" si="54"/>
        <v>8.227997802758491E-2</v>
      </c>
      <c r="Z72" s="26">
        <f t="shared" si="54"/>
        <v>0.22981213244440735</v>
      </c>
      <c r="AA72" s="26">
        <f t="shared" si="54"/>
        <v>4.489326205693156E-2</v>
      </c>
      <c r="AB72" s="26">
        <f t="shared" si="54"/>
        <v>4.5151581497932414E-2</v>
      </c>
      <c r="AC72" s="26">
        <f t="shared" si="54"/>
        <v>0.90284973414550573</v>
      </c>
      <c r="AD72" s="26">
        <f t="shared" si="58"/>
        <v>0.79507894776444354</v>
      </c>
      <c r="AE72" s="26">
        <f t="shared" si="58"/>
        <v>0.39179732254287325</v>
      </c>
      <c r="AF72" s="26">
        <f t="shared" si="58"/>
        <v>-1.2244207091730019E-2</v>
      </c>
      <c r="AG72" s="26">
        <f t="shared" si="58"/>
        <v>0.37385740276365587</v>
      </c>
      <c r="AH72" s="26">
        <f t="shared" si="58"/>
        <v>0.33226834009792339</v>
      </c>
      <c r="AI72" s="26">
        <f t="shared" si="58"/>
        <v>0.35578204281616665</v>
      </c>
      <c r="AJ72" s="26">
        <f t="shared" si="58"/>
        <v>0.28308977448376016</v>
      </c>
      <c r="AK72" s="26">
        <f t="shared" si="58"/>
        <v>0.19106928293415715</v>
      </c>
      <c r="AL72" s="26">
        <f t="shared" si="58"/>
        <v>0.10101197034751297</v>
      </c>
      <c r="AM72" s="26">
        <f t="shared" si="58"/>
        <v>-1.4736706623139861E-2</v>
      </c>
      <c r="AN72" s="26">
        <f t="shared" si="58"/>
        <v>0.29694284960661155</v>
      </c>
      <c r="AO72" s="26">
        <f t="shared" si="58"/>
        <v>2.4214348727695345E-2</v>
      </c>
      <c r="AP72" s="26">
        <f t="shared" si="58"/>
        <v>2.4368334472723685E-2</v>
      </c>
      <c r="AQ72" s="26">
        <f t="shared" si="58"/>
        <v>0.13546795981704962</v>
      </c>
      <c r="AR72" s="26">
        <f t="shared" si="58"/>
        <v>4.9279489544322264E-2</v>
      </c>
      <c r="AS72" s="26">
        <f t="shared" si="57"/>
        <v>-2.5942246330983076E-2</v>
      </c>
      <c r="AT72" s="26">
        <f t="shared" si="57"/>
        <v>-1.1607678898826634E-2</v>
      </c>
      <c r="AU72" s="26">
        <f t="shared" si="57"/>
        <v>-3.1632662040261939E-2</v>
      </c>
      <c r="AV72" s="26">
        <f t="shared" si="57"/>
        <v>-0.15675160892210038</v>
      </c>
      <c r="AW72" s="26">
        <f t="shared" si="57"/>
        <v>-0.14790312100447023</v>
      </c>
      <c r="AX72" s="26">
        <f t="shared" si="57"/>
        <v>-0.20535602995806024</v>
      </c>
      <c r="AY72" s="26">
        <f t="shared" si="57"/>
        <v>-4.3665496320723585E-2</v>
      </c>
      <c r="AZ72" s="26">
        <f t="shared" si="57"/>
        <v>-0.12502780865215046</v>
      </c>
      <c r="BA72" s="26">
        <f t="shared" si="57"/>
        <v>-0.16151709530719371</v>
      </c>
      <c r="BB72" s="26">
        <f t="shared" si="57"/>
        <v>-8.8726452539817591E-2</v>
      </c>
      <c r="BC72" s="26">
        <f t="shared" si="57"/>
        <v>-0.17364229419134725</v>
      </c>
      <c r="BD72" s="26">
        <f t="shared" si="57"/>
        <v>-7.9909837921356308E-2</v>
      </c>
      <c r="BE72" s="26">
        <f t="shared" si="57"/>
        <v>1.1077310447602295E-2</v>
      </c>
      <c r="BF72" s="26">
        <f t="shared" si="57"/>
        <v>2.6492536496786956E-2</v>
      </c>
      <c r="BG72" s="26">
        <f t="shared" si="57"/>
        <v>-6.9456810341914088E-2</v>
      </c>
      <c r="BH72" s="26">
        <f t="shared" si="57"/>
        <v>-0.18123394122088587</v>
      </c>
      <c r="BI72" s="26">
        <f t="shared" si="57"/>
        <v>-0.22730814516525299</v>
      </c>
      <c r="BJ72" s="26">
        <f t="shared" si="57"/>
        <v>-0.3915223152642805</v>
      </c>
      <c r="BK72" s="26">
        <f t="shared" si="57"/>
        <v>-0.38530610792085596</v>
      </c>
      <c r="BL72" s="26">
        <f t="shared" si="57"/>
        <v>-0.49851294323140649</v>
      </c>
      <c r="BM72" s="26">
        <f t="shared" si="57"/>
        <v>-0.37563523312686731</v>
      </c>
      <c r="BN72" s="26">
        <f t="shared" si="57"/>
        <v>-0.24139732629142818</v>
      </c>
      <c r="BO72" s="26">
        <f t="shared" si="57"/>
        <v>-0.13177795504628464</v>
      </c>
      <c r="BP72" s="26">
        <f t="shared" si="57"/>
        <v>0.52432187715191647</v>
      </c>
      <c r="BQ72" s="26">
        <f t="shared" si="57"/>
        <v>0.45064997610107227</v>
      </c>
      <c r="BR72" s="26">
        <f t="shared" si="57"/>
        <v>0.41467071584188697</v>
      </c>
      <c r="BS72" s="26">
        <f t="shared" si="57"/>
        <v>1.3289767568643338</v>
      </c>
      <c r="BT72" s="26">
        <f t="shared" si="57"/>
        <v>1.2686204872522695</v>
      </c>
      <c r="BU72" s="26">
        <f t="shared" si="57"/>
        <v>1.2741748589598556</v>
      </c>
      <c r="BV72" s="26">
        <f t="shared" si="57"/>
        <v>2.1173170015737139</v>
      </c>
      <c r="BW72" s="26">
        <f t="shared" si="57"/>
        <v>2.0640774685132492</v>
      </c>
      <c r="BX72" s="26">
        <f t="shared" si="57"/>
        <v>2.4284286428191106</v>
      </c>
      <c r="BY72" s="26">
        <f t="shared" si="57"/>
        <v>1.9003502781942188</v>
      </c>
      <c r="BZ72" s="26">
        <f t="shared" si="55"/>
        <v>1.7629408922444791</v>
      </c>
      <c r="CA72" s="26">
        <f t="shared" si="53"/>
        <v>1.1025347202651847</v>
      </c>
      <c r="CB72" s="26">
        <f t="shared" si="53"/>
        <v>0.28631115895286396</v>
      </c>
      <c r="CC72" s="26">
        <f t="shared" si="53"/>
        <v>0.21213211790506969</v>
      </c>
      <c r="CD72" s="26">
        <f t="shared" si="53"/>
        <v>0.19990851827380252</v>
      </c>
      <c r="CE72" s="26">
        <f t="shared" si="53"/>
        <v>-0.16166391439784955</v>
      </c>
      <c r="CF72" s="26">
        <f t="shared" si="53"/>
        <v>-0.13952887719077756</v>
      </c>
      <c r="CG72" s="26">
        <f t="shared" si="53"/>
        <v>-0.14132561646726527</v>
      </c>
      <c r="CH72" s="26">
        <f t="shared" si="53"/>
        <v>-2.4686619627531048E-2</v>
      </c>
      <c r="CI72" s="26">
        <f t="shared" si="53"/>
        <v>-0.17995020163529907</v>
      </c>
      <c r="CJ72" s="26">
        <f t="shared" si="53"/>
        <v>-0.1744120999856672</v>
      </c>
      <c r="CK72" s="26">
        <f t="shared" si="53"/>
        <v>-0.20224950814641474</v>
      </c>
      <c r="CL72" s="26">
        <f t="shared" si="53"/>
        <v>-0.14021266438120761</v>
      </c>
      <c r="CM72" s="26">
        <f t="shared" si="53"/>
        <v>5.0981170234930984E-2</v>
      </c>
      <c r="CN72" s="26">
        <f t="shared" si="53"/>
        <v>-0.18692477553521558</v>
      </c>
      <c r="CO72" s="26"/>
    </row>
    <row r="73" spans="14:93" x14ac:dyDescent="0.2">
      <c r="N73" s="26">
        <f t="shared" si="54"/>
        <v>-0.20649838654001784</v>
      </c>
      <c r="O73" s="26">
        <f t="shared" si="54"/>
        <v>-0.15667172357899861</v>
      </c>
      <c r="P73" s="26">
        <f t="shared" si="54"/>
        <v>-0.31103448992244975</v>
      </c>
      <c r="Q73" s="26">
        <f t="shared" si="54"/>
        <v>-0.65673086531254676</v>
      </c>
      <c r="R73" s="26">
        <f t="shared" si="54"/>
        <v>-0.49263390822460662</v>
      </c>
      <c r="S73" s="26">
        <f t="shared" si="54"/>
        <v>-0.17363942271901645</v>
      </c>
      <c r="T73" s="26">
        <f t="shared" si="54"/>
        <v>-0.10419962764347745</v>
      </c>
      <c r="U73" s="26">
        <f t="shared" si="54"/>
        <v>5.5263737832225157E-3</v>
      </c>
      <c r="V73" s="26">
        <f t="shared" si="54"/>
        <v>-0.242230757508338</v>
      </c>
      <c r="W73" s="26">
        <f t="shared" si="54"/>
        <v>-1.2972536059437934E-3</v>
      </c>
      <c r="X73" s="26">
        <f t="shared" si="54"/>
        <v>0.12185141478140582</v>
      </c>
      <c r="Y73" s="26">
        <f t="shared" si="54"/>
        <v>2.817658661414213E-2</v>
      </c>
      <c r="Z73" s="26">
        <f t="shared" si="54"/>
        <v>0.29110468759313135</v>
      </c>
      <c r="AA73" s="26">
        <f t="shared" si="54"/>
        <v>0.20100902140835886</v>
      </c>
      <c r="AB73" s="26">
        <f t="shared" si="54"/>
        <v>0.36208609760478283</v>
      </c>
      <c r="AC73" s="26">
        <f t="shared" si="54"/>
        <v>2.0225115677319576</v>
      </c>
      <c r="AD73" s="26">
        <f t="shared" si="58"/>
        <v>0.7227778024096343</v>
      </c>
      <c r="AE73" s="26">
        <f t="shared" si="58"/>
        <v>7.6070902751548264E-2</v>
      </c>
      <c r="AF73" s="26">
        <f t="shared" si="58"/>
        <v>0.32912131760717833</v>
      </c>
      <c r="AG73" s="26">
        <f t="shared" si="58"/>
        <v>-0.1419432482480445</v>
      </c>
      <c r="AH73" s="26">
        <f t="shared" si="58"/>
        <v>0.1981566806528412</v>
      </c>
      <c r="AI73" s="26">
        <f t="shared" si="58"/>
        <v>8.732670421915234E-2</v>
      </c>
      <c r="AJ73" s="26">
        <f t="shared" si="58"/>
        <v>5.0729227975834457E-2</v>
      </c>
      <c r="AK73" s="26">
        <f t="shared" si="58"/>
        <v>0.33887601956697688</v>
      </c>
      <c r="AL73" s="26">
        <f t="shared" si="58"/>
        <v>8.0416551785895463E-2</v>
      </c>
      <c r="AM73" s="26">
        <f t="shared" si="58"/>
        <v>-7.0485833379764773E-2</v>
      </c>
      <c r="AN73" s="26">
        <f t="shared" si="58"/>
        <v>-0.21500428501151936</v>
      </c>
      <c r="AO73" s="26">
        <f t="shared" si="58"/>
        <v>-9.5265095455117077E-3</v>
      </c>
      <c r="AP73" s="26">
        <f t="shared" si="58"/>
        <v>0.10740561195719689</v>
      </c>
      <c r="AQ73" s="26">
        <f t="shared" si="58"/>
        <v>0.14479649501858227</v>
      </c>
      <c r="AR73" s="26">
        <f t="shared" si="58"/>
        <v>-0.13729115428072192</v>
      </c>
      <c r="AS73" s="26">
        <f t="shared" si="57"/>
        <v>-3.8591886144117793E-2</v>
      </c>
      <c r="AT73" s="26">
        <f t="shared" si="57"/>
        <v>2.2105088334171796E-2</v>
      </c>
      <c r="AU73" s="26">
        <f t="shared" si="57"/>
        <v>-0.16410970419302895</v>
      </c>
      <c r="AV73" s="26">
        <f t="shared" si="57"/>
        <v>-0.17234710158029476</v>
      </c>
      <c r="AW73" s="26">
        <f t="shared" si="57"/>
        <v>-0.26686017125942318</v>
      </c>
      <c r="AX73" s="26">
        <f t="shared" si="57"/>
        <v>-8.9705992164609505E-2</v>
      </c>
      <c r="AY73" s="26">
        <f t="shared" si="57"/>
        <v>-0.24632104222712226</v>
      </c>
      <c r="AZ73" s="26">
        <f t="shared" si="57"/>
        <v>-0.10703656712324472</v>
      </c>
      <c r="BA73" s="26">
        <f t="shared" si="57"/>
        <v>-0.1101876857604116</v>
      </c>
      <c r="BB73" s="26">
        <f t="shared" si="57"/>
        <v>-0.14300251376113138</v>
      </c>
      <c r="BC73" s="26">
        <f t="shared" si="57"/>
        <v>-0.11018630535678908</v>
      </c>
      <c r="BD73" s="26">
        <f t="shared" si="57"/>
        <v>-0.16636677741427708</v>
      </c>
      <c r="BE73" s="26">
        <f t="shared" si="57"/>
        <v>1.6954534059710369E-2</v>
      </c>
      <c r="BF73" s="26">
        <f t="shared" si="57"/>
        <v>-0.26326170652677339</v>
      </c>
      <c r="BG73" s="26">
        <f t="shared" si="57"/>
        <v>-8.9208006637179205E-2</v>
      </c>
      <c r="BH73" s="26">
        <f t="shared" si="57"/>
        <v>-5.329500624168948E-2</v>
      </c>
      <c r="BI73" s="26">
        <f t="shared" si="57"/>
        <v>-0.21881106733531697</v>
      </c>
      <c r="BJ73" s="26">
        <f t="shared" si="57"/>
        <v>-0.36570281361709389</v>
      </c>
      <c r="BK73" s="26">
        <f t="shared" si="57"/>
        <v>-0.3382164999830648</v>
      </c>
      <c r="BL73" s="26">
        <f t="shared" si="57"/>
        <v>-0.31156610196169598</v>
      </c>
      <c r="BM73" s="26">
        <f t="shared" si="57"/>
        <v>-0.35914481933585729</v>
      </c>
      <c r="BN73" s="26">
        <f t="shared" si="57"/>
        <v>-0.22238606640489511</v>
      </c>
      <c r="BO73" s="26">
        <f t="shared" si="57"/>
        <v>3.4034125470449927E-2</v>
      </c>
      <c r="BP73" s="26">
        <f t="shared" si="57"/>
        <v>-3.8652259153546309E-2</v>
      </c>
      <c r="BQ73" s="26">
        <f t="shared" si="57"/>
        <v>3.2366625140912264E-2</v>
      </c>
      <c r="BR73" s="26">
        <f t="shared" si="57"/>
        <v>0.11733448878295216</v>
      </c>
      <c r="BS73" s="26">
        <f t="shared" si="57"/>
        <v>0.16518880701727423</v>
      </c>
      <c r="BT73" s="26">
        <f t="shared" si="57"/>
        <v>0.3311452527834986</v>
      </c>
      <c r="BU73" s="26">
        <f t="shared" si="57"/>
        <v>0.27602066678583426</v>
      </c>
      <c r="BV73" s="26">
        <f t="shared" si="57"/>
        <v>0.37045104110037275</v>
      </c>
      <c r="BW73" s="26">
        <f t="shared" si="57"/>
        <v>0.4934020049334038</v>
      </c>
      <c r="BX73" s="26">
        <f t="shared" si="57"/>
        <v>0.43302436538763533</v>
      </c>
      <c r="BY73" s="26">
        <f t="shared" si="57"/>
        <v>0.41046131854077661</v>
      </c>
      <c r="BZ73" s="26">
        <f t="shared" si="55"/>
        <v>0.32684207005400912</v>
      </c>
      <c r="CA73" s="26">
        <f t="shared" si="53"/>
        <v>-0.13308490963066144</v>
      </c>
      <c r="CB73" s="26">
        <f t="shared" si="53"/>
        <v>0.18413206551371375</v>
      </c>
      <c r="CC73" s="26">
        <f t="shared" si="53"/>
        <v>-0.10511297607258385</v>
      </c>
      <c r="CD73" s="26">
        <f t="shared" si="53"/>
        <v>0.15711889200954632</v>
      </c>
      <c r="CE73" s="26">
        <f t="shared" si="53"/>
        <v>1.5129854717246705E-2</v>
      </c>
      <c r="CF73" s="26">
        <f t="shared" si="53"/>
        <v>-0.22207330640221612</v>
      </c>
      <c r="CG73" s="26">
        <f t="shared" si="53"/>
        <v>-0.10295862447647453</v>
      </c>
      <c r="CH73" s="26">
        <f t="shared" si="53"/>
        <v>-4.6925069747908665E-2</v>
      </c>
      <c r="CI73" s="26">
        <f t="shared" si="53"/>
        <v>-8.6026441563871181E-2</v>
      </c>
      <c r="CJ73" s="26">
        <f t="shared" si="53"/>
        <v>-0.1205619001217838</v>
      </c>
      <c r="CK73" s="26">
        <f t="shared" si="53"/>
        <v>-7.6163184510162352E-2</v>
      </c>
      <c r="CL73" s="26">
        <f t="shared" si="53"/>
        <v>-0.20830695926529008</v>
      </c>
      <c r="CM73" s="26">
        <f t="shared" si="53"/>
        <v>-0.12196179892029324</v>
      </c>
      <c r="CN73" s="26">
        <f t="shared" si="53"/>
        <v>-0.19975097623360927</v>
      </c>
      <c r="CO73" s="26"/>
    </row>
    <row r="74" spans="14:93" x14ac:dyDescent="0.2">
      <c r="N74" s="26">
        <f t="shared" si="54"/>
        <v>-0.1111082429692275</v>
      </c>
      <c r="O74" s="26">
        <f t="shared" si="54"/>
        <v>-0.10779543369515843</v>
      </c>
      <c r="P74" s="26">
        <f t="shared" si="54"/>
        <v>-0.1501552084175285</v>
      </c>
      <c r="Q74" s="26">
        <f t="shared" si="54"/>
        <v>-0.63841367102418012</v>
      </c>
      <c r="R74" s="26">
        <f t="shared" si="54"/>
        <v>-0.42974920200085942</v>
      </c>
      <c r="S74" s="26">
        <f t="shared" si="54"/>
        <v>-0.1293109015863152</v>
      </c>
      <c r="T74" s="26">
        <f t="shared" si="54"/>
        <v>-0.15422557878579213</v>
      </c>
      <c r="U74" s="26">
        <f t="shared" si="54"/>
        <v>0.18428056244248481</v>
      </c>
      <c r="V74" s="26">
        <f t="shared" si="54"/>
        <v>0.3959902916178637</v>
      </c>
      <c r="W74" s="26">
        <f t="shared" si="54"/>
        <v>0.54187463972838734</v>
      </c>
      <c r="X74" s="26">
        <f t="shared" si="54"/>
        <v>0.1671801645521569</v>
      </c>
      <c r="Y74" s="26">
        <f t="shared" si="54"/>
        <v>0.16262816899880472</v>
      </c>
      <c r="Z74" s="26">
        <f t="shared" si="54"/>
        <v>0.21571830827365157</v>
      </c>
      <c r="AA74" s="26">
        <f t="shared" si="54"/>
        <v>0.23810016693604119</v>
      </c>
      <c r="AB74" s="26">
        <f t="shared" si="54"/>
        <v>0.38400099254777365</v>
      </c>
      <c r="AC74" s="26">
        <f t="shared" si="54"/>
        <v>3.3895011308848471</v>
      </c>
      <c r="AD74" s="26">
        <f t="shared" si="58"/>
        <v>1.0700754736882421</v>
      </c>
      <c r="AE74" s="26">
        <f t="shared" si="58"/>
        <v>0.3339757927809659</v>
      </c>
      <c r="AF74" s="26">
        <f t="shared" si="58"/>
        <v>0.39901041206377164</v>
      </c>
      <c r="AG74" s="26">
        <f t="shared" si="58"/>
        <v>0.1032968674778556</v>
      </c>
      <c r="AH74" s="26">
        <f t="shared" si="58"/>
        <v>0.12420178134724846</v>
      </c>
      <c r="AI74" s="26">
        <f t="shared" si="58"/>
        <v>0.13255797960365889</v>
      </c>
      <c r="AJ74" s="26">
        <f t="shared" si="58"/>
        <v>0.13603986639163312</v>
      </c>
      <c r="AK74" s="26">
        <f t="shared" si="58"/>
        <v>7.2821104658954194E-2</v>
      </c>
      <c r="AL74" s="26">
        <f t="shared" si="58"/>
        <v>0.2676507391677696</v>
      </c>
      <c r="AM74" s="26">
        <f t="shared" si="58"/>
        <v>0.22444497355657189</v>
      </c>
      <c r="AN74" s="26">
        <f t="shared" si="58"/>
        <v>0.25669696621342575</v>
      </c>
      <c r="AO74" s="26">
        <f t="shared" si="58"/>
        <v>-0.18428726325598344</v>
      </c>
      <c r="AP74" s="26">
        <f t="shared" si="58"/>
        <v>-7.1053847733857922E-2</v>
      </c>
      <c r="AQ74" s="26">
        <f t="shared" si="58"/>
        <v>-9.529323778118004E-2</v>
      </c>
      <c r="AR74" s="26">
        <f t="shared" si="58"/>
        <v>2.0290373625368119E-2</v>
      </c>
      <c r="AS74" s="26">
        <f t="shared" si="57"/>
        <v>-1.3135255202321394E-2</v>
      </c>
      <c r="AT74" s="26">
        <f t="shared" si="57"/>
        <v>0.13009835951661319</v>
      </c>
      <c r="AU74" s="26">
        <f t="shared" si="57"/>
        <v>-0.32873203217549851</v>
      </c>
      <c r="AV74" s="26">
        <f t="shared" si="57"/>
        <v>-0.18070030386801472</v>
      </c>
      <c r="AW74" s="26">
        <f t="shared" si="57"/>
        <v>-0.11320961017677533</v>
      </c>
      <c r="AX74" s="26">
        <f t="shared" si="57"/>
        <v>-9.8190373638392336E-2</v>
      </c>
      <c r="AY74" s="26">
        <f t="shared" si="57"/>
        <v>9.1146083254712185E-2</v>
      </c>
      <c r="AZ74" s="26">
        <f t="shared" si="57"/>
        <v>-0.10946662841746335</v>
      </c>
      <c r="BA74" s="26">
        <f t="shared" si="57"/>
        <v>0.14954445674788408</v>
      </c>
      <c r="BB74" s="26">
        <f t="shared" si="57"/>
        <v>0.16749471815851824</v>
      </c>
      <c r="BC74" s="26">
        <f t="shared" si="57"/>
        <v>1.513213795685342E-2</v>
      </c>
      <c r="BD74" s="26">
        <f t="shared" si="57"/>
        <v>3.019313410899227E-2</v>
      </c>
      <c r="BE74" s="26">
        <f t="shared" si="57"/>
        <v>5.8438385431620166E-2</v>
      </c>
      <c r="BF74" s="26">
        <f t="shared" si="57"/>
        <v>-0.19554996347246145</v>
      </c>
      <c r="BG74" s="26">
        <f t="shared" si="57"/>
        <v>9.2742716877727283E-3</v>
      </c>
      <c r="BH74" s="26">
        <f t="shared" si="57"/>
        <v>-5.5289909011439931E-2</v>
      </c>
      <c r="BI74" s="26">
        <f t="shared" si="57"/>
        <v>-0.3282815617405539</v>
      </c>
      <c r="BJ74" s="26">
        <f t="shared" si="57"/>
        <v>-0.4831948683880074</v>
      </c>
      <c r="BK74" s="26">
        <f t="shared" si="57"/>
        <v>-0.4662853442776117</v>
      </c>
      <c r="BL74" s="26">
        <f t="shared" si="57"/>
        <v>-0.27754777981861234</v>
      </c>
      <c r="BM74" s="26">
        <f t="shared" si="57"/>
        <v>-0.38235179121792828</v>
      </c>
      <c r="BN74" s="26">
        <f t="shared" si="57"/>
        <v>-0.35657833827808727</v>
      </c>
      <c r="BO74" s="26">
        <f t="shared" si="57"/>
        <v>-0.13175541748073927</v>
      </c>
      <c r="BP74" s="26">
        <f t="shared" si="57"/>
        <v>-0.24476438340673889</v>
      </c>
      <c r="BQ74" s="26">
        <f t="shared" si="57"/>
        <v>-0.12564121188640598</v>
      </c>
      <c r="BR74" s="26">
        <f t="shared" si="57"/>
        <v>0.17231949835725513</v>
      </c>
      <c r="BS74" s="26">
        <f t="shared" si="57"/>
        <v>1.7696180376101545E-2</v>
      </c>
      <c r="BT74" s="26">
        <f t="shared" si="57"/>
        <v>0.11065884236052326</v>
      </c>
      <c r="BU74" s="26">
        <f t="shared" si="57"/>
        <v>0.53451739678073351</v>
      </c>
      <c r="BV74" s="26">
        <f t="shared" si="57"/>
        <v>1.0656689592199493</v>
      </c>
      <c r="BW74" s="26">
        <f t="shared" si="57"/>
        <v>1.1524711161883627</v>
      </c>
      <c r="BX74" s="26">
        <f t="shared" si="57"/>
        <v>0.59555007839136587</v>
      </c>
      <c r="BY74" s="26">
        <f t="shared" si="57"/>
        <v>0.54298477709755066</v>
      </c>
      <c r="BZ74" s="26">
        <f t="shared" si="55"/>
        <v>0.69757605775988929</v>
      </c>
      <c r="CA74" s="26">
        <f t="shared" si="53"/>
        <v>0.39614727056678922</v>
      </c>
      <c r="CB74" s="26">
        <f t="shared" si="53"/>
        <v>0.45201745382550662</v>
      </c>
      <c r="CC74" s="26">
        <f t="shared" si="53"/>
        <v>0.1588230519980478</v>
      </c>
      <c r="CD74" s="26">
        <f t="shared" si="53"/>
        <v>8.6108696138893492E-3</v>
      </c>
      <c r="CE74" s="26">
        <f t="shared" si="53"/>
        <v>0.14626177619441449</v>
      </c>
      <c r="CF74" s="26">
        <f t="shared" si="53"/>
        <v>4.2644419176025128E-2</v>
      </c>
      <c r="CG74" s="26">
        <f t="shared" si="53"/>
        <v>9.0877159300706722E-2</v>
      </c>
      <c r="CH74" s="26">
        <f t="shared" si="53"/>
        <v>2.199655640381204E-2</v>
      </c>
      <c r="CI74" s="26">
        <f t="shared" si="53"/>
        <v>-0.26828010179835382</v>
      </c>
      <c r="CJ74" s="26">
        <f t="shared" si="53"/>
        <v>-0.21023190348767917</v>
      </c>
      <c r="CK74" s="26">
        <f t="shared" si="53"/>
        <v>-8.1059506808101589E-2</v>
      </c>
      <c r="CL74" s="26">
        <f t="shared" si="53"/>
        <v>-9.0429074968595313E-2</v>
      </c>
      <c r="CM74" s="26">
        <f t="shared" si="53"/>
        <v>-0.12002619597383757</v>
      </c>
      <c r="CN74" s="26">
        <f t="shared" si="53"/>
        <v>-0.23575566827405681</v>
      </c>
      <c r="CO74" s="26"/>
    </row>
    <row r="75" spans="14:93" x14ac:dyDescent="0.2">
      <c r="N75" s="26">
        <f t="shared" si="54"/>
        <v>-0.60479927560566571</v>
      </c>
      <c r="O75" s="26">
        <f t="shared" si="54"/>
        <v>-1.2504112266387479E-2</v>
      </c>
      <c r="P75" s="26">
        <f t="shared" si="54"/>
        <v>-0.58221675813135476</v>
      </c>
      <c r="Q75" s="26">
        <f t="shared" si="54"/>
        <v>-2.1930041883843288E-2</v>
      </c>
      <c r="R75" s="26">
        <f t="shared" si="54"/>
        <v>-0.60983415083739323</v>
      </c>
      <c r="S75" s="26">
        <f t="shared" si="54"/>
        <v>-6.7152034263167071E-3</v>
      </c>
      <c r="T75" s="26">
        <f t="shared" si="54"/>
        <v>-0.63547509007717728</v>
      </c>
      <c r="U75" s="26">
        <f t="shared" si="54"/>
        <v>-0.70488800626130721</v>
      </c>
      <c r="V75" s="26">
        <f t="shared" si="54"/>
        <v>-0.36006981866019194</v>
      </c>
      <c r="W75" s="26">
        <f t="shared" si="54"/>
        <v>-0.22231437505256491</v>
      </c>
      <c r="X75" s="26">
        <f t="shared" si="54"/>
        <v>-0.59696686401613397</v>
      </c>
      <c r="Y75" s="26">
        <f t="shared" si="54"/>
        <v>-0.58151493763571271</v>
      </c>
      <c r="Z75" s="26">
        <f t="shared" si="54"/>
        <v>6.5276120518146241E-2</v>
      </c>
      <c r="AA75" s="26">
        <f t="shared" si="54"/>
        <v>-0.38258357218092776</v>
      </c>
      <c r="AB75" s="26">
        <f t="shared" si="54"/>
        <v>0.78824422329899635</v>
      </c>
      <c r="AC75" s="26">
        <f t="shared" si="54"/>
        <v>-1.8618505501176941E-2</v>
      </c>
      <c r="AD75" s="26">
        <f t="shared" si="58"/>
        <v>6.6583017414710177E-2</v>
      </c>
      <c r="AE75" s="26">
        <f t="shared" si="58"/>
        <v>-0.29319231481782948</v>
      </c>
      <c r="AF75" s="26">
        <f t="shared" si="58"/>
        <v>0.46002068473109969</v>
      </c>
      <c r="AG75" s="26">
        <f t="shared" si="58"/>
        <v>0.35628046112410239</v>
      </c>
      <c r="AH75" s="26">
        <f t="shared" si="58"/>
        <v>0.33899882251741942</v>
      </c>
      <c r="AI75" s="26">
        <f t="shared" si="58"/>
        <v>0.12790146019021242</v>
      </c>
      <c r="AJ75" s="26">
        <f t="shared" si="58"/>
        <v>0.25509223408316384</v>
      </c>
      <c r="AK75" s="26">
        <f t="shared" si="58"/>
        <v>0.57374885808277343</v>
      </c>
      <c r="AL75" s="26">
        <f t="shared" si="58"/>
        <v>-8.4160657757515245E-2</v>
      </c>
      <c r="AM75" s="26">
        <f t="shared" si="58"/>
        <v>0.27057179644944163</v>
      </c>
      <c r="AN75" s="26">
        <f t="shared" si="58"/>
        <v>1.8457908215500529E-2</v>
      </c>
      <c r="AO75" s="26">
        <f t="shared" si="58"/>
        <v>0.20841697501086798</v>
      </c>
      <c r="AP75" s="26">
        <f t="shared" si="58"/>
        <v>0.12450901946680326</v>
      </c>
      <c r="AQ75" s="26">
        <f t="shared" si="58"/>
        <v>0.20148577199157458</v>
      </c>
      <c r="AR75" s="26">
        <f t="shared" si="58"/>
        <v>0.56210126694203999</v>
      </c>
      <c r="AS75" s="26">
        <f t="shared" si="57"/>
        <v>1.7280382377777403E-2</v>
      </c>
      <c r="AT75" s="26">
        <f t="shared" si="57"/>
        <v>0.11949057341176528</v>
      </c>
      <c r="AU75" s="26">
        <f t="shared" si="57"/>
        <v>0.43507630246193374</v>
      </c>
      <c r="AV75" s="26">
        <f t="shared" si="57"/>
        <v>3.4802847604309406E-4</v>
      </c>
      <c r="AW75" s="26">
        <f t="shared" si="57"/>
        <v>0.11292229414986088</v>
      </c>
      <c r="AX75" s="26">
        <f t="shared" si="57"/>
        <v>0.3721481989042108</v>
      </c>
      <c r="AY75" s="26">
        <f t="shared" si="57"/>
        <v>2.0631072453482169E-2</v>
      </c>
      <c r="AZ75" s="26">
        <f t="shared" si="57"/>
        <v>3.6076957200255277E-2</v>
      </c>
      <c r="BA75" s="26">
        <f t="shared" si="57"/>
        <v>-0.13188056329636288</v>
      </c>
      <c r="BB75" s="26">
        <f t="shared" si="57"/>
        <v>1.8012328515855103E-3</v>
      </c>
      <c r="BC75" s="26">
        <f t="shared" si="57"/>
        <v>0.35995849065061281</v>
      </c>
      <c r="BD75" s="26">
        <f t="shared" si="57"/>
        <v>-0.24060504825046636</v>
      </c>
      <c r="BE75" s="26">
        <f t="shared" si="57"/>
        <v>0.75011323279965403</v>
      </c>
      <c r="BF75" s="26">
        <f t="shared" si="57"/>
        <v>-7.4660948100294555E-2</v>
      </c>
      <c r="BG75" s="26">
        <f t="shared" si="57"/>
        <v>-0.20756638043981268</v>
      </c>
      <c r="BH75" s="26">
        <f t="shared" si="57"/>
        <v>-4.4664381952588372E-2</v>
      </c>
      <c r="BI75" s="26">
        <f t="shared" si="57"/>
        <v>-0.38816890621803679</v>
      </c>
      <c r="BJ75" s="26">
        <f t="shared" si="57"/>
        <v>-0.50073840216428955</v>
      </c>
      <c r="BK75" s="26">
        <f t="shared" si="57"/>
        <v>-0.30763978756125709</v>
      </c>
      <c r="BL75" s="26">
        <f t="shared" si="57"/>
        <v>-0.239490354142607</v>
      </c>
      <c r="BM75" s="26">
        <f t="shared" si="57"/>
        <v>-0.31064909800353391</v>
      </c>
      <c r="BN75" s="26">
        <f t="shared" si="57"/>
        <v>8.1867904104948375E-2</v>
      </c>
      <c r="BO75" s="26">
        <f t="shared" si="57"/>
        <v>-0.15779106186103764</v>
      </c>
      <c r="BP75" s="26">
        <f t="shared" si="57"/>
        <v>-4.7121505225899862E-2</v>
      </c>
      <c r="BQ75" s="26">
        <f t="shared" si="57"/>
        <v>-0.14250174934753412</v>
      </c>
      <c r="BR75" s="26">
        <f t="shared" si="57"/>
        <v>7.9175171849981352E-2</v>
      </c>
      <c r="BS75" s="26">
        <f t="shared" si="57"/>
        <v>0.39304754485703008</v>
      </c>
      <c r="BT75" s="26">
        <f t="shared" si="57"/>
        <v>0.51928194588300447</v>
      </c>
      <c r="BU75" s="26">
        <f t="shared" si="57"/>
        <v>0.83657897637179346</v>
      </c>
      <c r="BV75" s="26">
        <f t="shared" si="57"/>
        <v>0.95760998448295331</v>
      </c>
      <c r="BW75" s="26">
        <f t="shared" si="57"/>
        <v>1.2293716891538518</v>
      </c>
      <c r="BX75" s="26">
        <f t="shared" si="57"/>
        <v>0.75184887941925904</v>
      </c>
      <c r="BY75" s="26">
        <f t="shared" si="57"/>
        <v>2.0677743717939729</v>
      </c>
      <c r="BZ75" s="26">
        <f t="shared" si="55"/>
        <v>0.50941268618488733</v>
      </c>
      <c r="CA75" s="26">
        <f t="shared" si="53"/>
        <v>0.64398377745823754</v>
      </c>
      <c r="CB75" s="26">
        <f t="shared" si="53"/>
        <v>0.57249321523736918</v>
      </c>
      <c r="CC75" s="26">
        <f t="shared" si="53"/>
        <v>0.11505055365654382</v>
      </c>
      <c r="CD75" s="26">
        <f t="shared" si="53"/>
        <v>0.33434436631377396</v>
      </c>
      <c r="CE75" s="26">
        <f t="shared" si="53"/>
        <v>4.6114404901741457E-2</v>
      </c>
      <c r="CF75" s="26">
        <f t="shared" si="53"/>
        <v>-1.0772473488126932E-2</v>
      </c>
      <c r="CG75" s="26">
        <f t="shared" si="53"/>
        <v>-2.5909132674276414E-2</v>
      </c>
      <c r="CH75" s="26">
        <f t="shared" si="53"/>
        <v>0.19763501963670449</v>
      </c>
      <c r="CI75" s="26">
        <f t="shared" si="53"/>
        <v>0.44810324067298901</v>
      </c>
      <c r="CJ75" s="26">
        <f t="shared" si="53"/>
        <v>0.11014473367602218</v>
      </c>
      <c r="CK75" s="26">
        <f t="shared" si="53"/>
        <v>-0.36755162904744998</v>
      </c>
      <c r="CL75" s="26">
        <f t="shared" si="53"/>
        <v>6.6073153643540827E-2</v>
      </c>
      <c r="CM75" s="26">
        <f t="shared" si="53"/>
        <v>-0.21035986313789812</v>
      </c>
      <c r="CN75" s="26">
        <f t="shared" si="53"/>
        <v>0.51164898906806688</v>
      </c>
      <c r="CO75" s="26"/>
    </row>
    <row r="76" spans="14:93" x14ac:dyDescent="0.2">
      <c r="N76" s="26">
        <f t="shared" si="54"/>
        <v>-0.18040335006326513</v>
      </c>
      <c r="O76" s="26">
        <f t="shared" si="54"/>
        <v>-0.29327955247762438</v>
      </c>
      <c r="P76" s="26">
        <f t="shared" si="54"/>
        <v>-0.37066499142194165</v>
      </c>
      <c r="Q76" s="26">
        <f t="shared" si="54"/>
        <v>-0.57169912993170457</v>
      </c>
      <c r="R76" s="26">
        <f t="shared" si="54"/>
        <v>-0.72019540514457336</v>
      </c>
      <c r="S76" s="26">
        <f t="shared" si="54"/>
        <v>-0.50254634952664379</v>
      </c>
      <c r="T76" s="26">
        <f t="shared" si="54"/>
        <v>-0.35732527694505234</v>
      </c>
      <c r="U76" s="26">
        <f t="shared" si="54"/>
        <v>-0.27558281014812236</v>
      </c>
      <c r="V76" s="26">
        <f t="shared" si="54"/>
        <v>-0.23088307373442429</v>
      </c>
      <c r="W76" s="26">
        <f t="shared" si="54"/>
        <v>6.9177185136676478E-2</v>
      </c>
      <c r="X76" s="26">
        <f t="shared" si="54"/>
        <v>5.088016407640783E-2</v>
      </c>
      <c r="Y76" s="26">
        <f t="shared" si="54"/>
        <v>4.0113054229655498E-2</v>
      </c>
      <c r="Z76" s="26">
        <f t="shared" si="54"/>
        <v>-2.911531843848858E-2</v>
      </c>
      <c r="AA76" s="26">
        <f t="shared" si="54"/>
        <v>6.6147191384396287E-2</v>
      </c>
      <c r="AB76" s="26">
        <f t="shared" si="54"/>
        <v>0.38399448892490851</v>
      </c>
      <c r="AC76" s="26">
        <f t="shared" si="54"/>
        <v>1.2190618229543224</v>
      </c>
      <c r="AD76" s="26">
        <f t="shared" si="58"/>
        <v>2.4176666673981573</v>
      </c>
      <c r="AE76" s="26">
        <f t="shared" si="58"/>
        <v>0.60880183867977222</v>
      </c>
      <c r="AF76" s="26">
        <f t="shared" si="58"/>
        <v>0.35078864489904138</v>
      </c>
      <c r="AG76" s="26">
        <f t="shared" si="58"/>
        <v>0.29536181952277918</v>
      </c>
      <c r="AH76" s="26">
        <f t="shared" si="58"/>
        <v>0.18189612110863251</v>
      </c>
      <c r="AI76" s="26">
        <f t="shared" si="58"/>
        <v>0.12102063010408126</v>
      </c>
      <c r="AJ76" s="26">
        <f t="shared" si="58"/>
        <v>4.3517032101549891E-3</v>
      </c>
      <c r="AK76" s="26">
        <f t="shared" si="58"/>
        <v>7.2708637750787508E-2</v>
      </c>
      <c r="AL76" s="26">
        <f t="shared" si="58"/>
        <v>0.14682937443707011</v>
      </c>
      <c r="AM76" s="26">
        <f t="shared" si="58"/>
        <v>-6.2477436837976907E-2</v>
      </c>
      <c r="AN76" s="26">
        <f t="shared" si="58"/>
        <v>-6.9727890369108869E-2</v>
      </c>
      <c r="AO76" s="26">
        <f t="shared" si="58"/>
        <v>4.4584053006120339E-2</v>
      </c>
      <c r="AP76" s="26">
        <f t="shared" si="58"/>
        <v>-5.7449659371992978E-2</v>
      </c>
      <c r="AQ76" s="26">
        <f t="shared" si="58"/>
        <v>0.20026260394980056</v>
      </c>
      <c r="AR76" s="26">
        <f t="shared" si="58"/>
        <v>-0.17461152123263834</v>
      </c>
      <c r="AS76" s="26">
        <f t="shared" si="57"/>
        <v>-0.17938118322660113</v>
      </c>
      <c r="AT76" s="26">
        <f t="shared" si="57"/>
        <v>0.79567037676318253</v>
      </c>
      <c r="AU76" s="26">
        <f t="shared" si="57"/>
        <v>-0.2431937621368041</v>
      </c>
      <c r="AV76" s="26">
        <f t="shared" si="57"/>
        <v>-0.18343236966460996</v>
      </c>
      <c r="AW76" s="26">
        <f t="shared" si="57"/>
        <v>-0.16895819878367746</v>
      </c>
      <c r="AX76" s="26">
        <f t="shared" si="57"/>
        <v>-0.19346954945896888</v>
      </c>
      <c r="AY76" s="26">
        <f t="shared" si="57"/>
        <v>-8.527841502224609E-2</v>
      </c>
      <c r="AZ76" s="26">
        <f t="shared" si="57"/>
        <v>-0.12192146805891446</v>
      </c>
      <c r="BA76" s="26">
        <f t="shared" si="57"/>
        <v>-0.20797076413123472</v>
      </c>
      <c r="BB76" s="26">
        <f t="shared" si="57"/>
        <v>-4.8267105137233202E-2</v>
      </c>
      <c r="BC76" s="26">
        <f t="shared" si="57"/>
        <v>-8.0856007802958318E-2</v>
      </c>
      <c r="BD76" s="26">
        <f t="shared" si="57"/>
        <v>-5.8220171961686273E-2</v>
      </c>
      <c r="BE76" s="26">
        <f t="shared" si="57"/>
        <v>4.5422960234207777E-2</v>
      </c>
      <c r="BF76" s="26">
        <f t="shared" si="57"/>
        <v>-0.40777229564682316</v>
      </c>
      <c r="BG76" s="26">
        <f t="shared" si="57"/>
        <v>-3.5594037265548439E-2</v>
      </c>
      <c r="BH76" s="26">
        <f t="shared" si="57"/>
        <v>2.9384448475407776E-2</v>
      </c>
      <c r="BI76" s="26">
        <f t="shared" si="57"/>
        <v>-0.19052831710292673</v>
      </c>
      <c r="BJ76" s="26">
        <f t="shared" si="57"/>
        <v>-0.25824621308433593</v>
      </c>
      <c r="BK76" s="26">
        <f t="shared" si="57"/>
        <v>-0.71972451772061974</v>
      </c>
      <c r="BL76" s="26">
        <f t="shared" si="57"/>
        <v>-0.19842717972082224</v>
      </c>
      <c r="BM76" s="26">
        <f t="shared" si="57"/>
        <v>-0.26844866927702116</v>
      </c>
      <c r="BN76" s="26">
        <f t="shared" si="57"/>
        <v>-9.1573172776512002E-2</v>
      </c>
      <c r="BO76" s="26">
        <f t="shared" si="57"/>
        <v>0.11777988765226111</v>
      </c>
      <c r="BP76" s="26">
        <f t="shared" si="57"/>
        <v>0.13867628969967627</v>
      </c>
      <c r="BQ76" s="26">
        <f t="shared" si="57"/>
        <v>0.28757104326434946</v>
      </c>
      <c r="BR76" s="26">
        <f t="shared" si="57"/>
        <v>0.36235499310206198</v>
      </c>
      <c r="BS76" s="26">
        <f t="shared" si="57"/>
        <v>0.52714529998663506</v>
      </c>
      <c r="BT76" s="26">
        <f t="shared" si="57"/>
        <v>0.6538794466183937</v>
      </c>
      <c r="BU76" s="26">
        <f t="shared" si="57"/>
        <v>0.93981577678990602</v>
      </c>
      <c r="BV76" s="26">
        <f t="shared" si="57"/>
        <v>1.2181806138420117</v>
      </c>
      <c r="BW76" s="26">
        <f t="shared" si="57"/>
        <v>5.329146193657488</v>
      </c>
      <c r="BX76" s="26">
        <f t="shared" si="57"/>
        <v>1.2591742777267627</v>
      </c>
      <c r="BY76" s="26">
        <f t="shared" si="57"/>
        <v>1.1491232475261848</v>
      </c>
      <c r="BZ76" s="26">
        <f t="shared" si="55"/>
        <v>0.98437031990715718</v>
      </c>
      <c r="CA76" s="26">
        <f t="shared" si="53"/>
        <v>0.76606523913516278</v>
      </c>
      <c r="CB76" s="26">
        <f t="shared" si="53"/>
        <v>0.38241687598092677</v>
      </c>
      <c r="CC76" s="26">
        <f t="shared" si="53"/>
        <v>0.13441499714423988</v>
      </c>
      <c r="CD76" s="26">
        <f t="shared" si="53"/>
        <v>-0.14947459171204358</v>
      </c>
      <c r="CE76" s="26">
        <f t="shared" si="53"/>
        <v>0.2397360578464407</v>
      </c>
      <c r="CF76" s="26">
        <f t="shared" si="53"/>
        <v>-9.5803608392016515E-2</v>
      </c>
      <c r="CG76" s="26">
        <f t="shared" si="53"/>
        <v>-7.53728571588691E-2</v>
      </c>
      <c r="CH76" s="26">
        <f t="shared" si="53"/>
        <v>0.88283630272801017</v>
      </c>
      <c r="CI76" s="26">
        <f t="shared" si="53"/>
        <v>-0.25811053988621857</v>
      </c>
      <c r="CJ76" s="26">
        <f t="shared" si="53"/>
        <v>-0.20575816936563074</v>
      </c>
      <c r="CK76" s="26">
        <f t="shared" si="53"/>
        <v>-8.3717248333884386E-2</v>
      </c>
      <c r="CL76" s="26">
        <f t="shared" si="53"/>
        <v>-0.14420268230903377</v>
      </c>
      <c r="CM76" s="26">
        <f t="shared" si="53"/>
        <v>0.14745832006836523</v>
      </c>
      <c r="CN76" s="26">
        <f t="shared" si="53"/>
        <v>0.35858916747298286</v>
      </c>
      <c r="CO76" s="26"/>
    </row>
    <row r="77" spans="14:93" x14ac:dyDescent="0.2">
      <c r="N77" s="26">
        <f t="shared" si="54"/>
        <v>6.4755146445768297E-2</v>
      </c>
      <c r="O77" s="26">
        <f t="shared" si="54"/>
        <v>-0.32619857367890659</v>
      </c>
      <c r="P77" s="26">
        <f t="shared" si="54"/>
        <v>-0.17574714884056541</v>
      </c>
      <c r="Q77" s="26">
        <f t="shared" si="54"/>
        <v>-0.63605834778926351</v>
      </c>
      <c r="R77" s="26">
        <f t="shared" si="54"/>
        <v>-0.36998087761021714</v>
      </c>
      <c r="S77" s="26">
        <f t="shared" si="54"/>
        <v>7.450620488965165E-2</v>
      </c>
      <c r="T77" s="26">
        <f t="shared" si="54"/>
        <v>-3.6402621485512876E-2</v>
      </c>
      <c r="U77" s="26">
        <f t="shared" si="54"/>
        <v>0.1257954224838076</v>
      </c>
      <c r="V77" s="26">
        <f t="shared" si="54"/>
        <v>-0.3056429496724693</v>
      </c>
      <c r="W77" s="26">
        <f t="shared" si="54"/>
        <v>-2.3029587167441967E-2</v>
      </c>
      <c r="X77" s="26">
        <f t="shared" si="54"/>
        <v>0.43784301529837144</v>
      </c>
      <c r="Y77" s="26">
        <f t="shared" si="54"/>
        <v>0.12995917020673886</v>
      </c>
      <c r="Z77" s="26">
        <f t="shared" si="54"/>
        <v>-6.7253949180361317E-2</v>
      </c>
      <c r="AA77" s="26">
        <f t="shared" si="54"/>
        <v>0.59074726218342377</v>
      </c>
      <c r="AB77" s="26">
        <f t="shared" si="54"/>
        <v>0.84240172802482394</v>
      </c>
      <c r="AC77" s="26">
        <f t="shared" si="54"/>
        <v>1.4342576342689752</v>
      </c>
      <c r="AD77" s="26">
        <f t="shared" si="58"/>
        <v>0.79743666493804288</v>
      </c>
      <c r="AE77" s="26">
        <f t="shared" si="58"/>
        <v>0.17911192768086237</v>
      </c>
      <c r="AF77" s="26">
        <f t="shared" si="58"/>
        <v>0.18991421369370354</v>
      </c>
      <c r="AG77" s="26">
        <f t="shared" si="58"/>
        <v>0.33933192569389625</v>
      </c>
      <c r="AH77" s="26">
        <f t="shared" si="58"/>
        <v>0.5759618322570681</v>
      </c>
      <c r="AI77" s="26">
        <f t="shared" si="58"/>
        <v>0.44320131983187672</v>
      </c>
      <c r="AJ77" s="26">
        <f t="shared" si="58"/>
        <v>4.4493755697001536E-2</v>
      </c>
      <c r="AK77" s="26">
        <f t="shared" si="58"/>
        <v>0.1939239636328598</v>
      </c>
      <c r="AL77" s="26">
        <f t="shared" si="58"/>
        <v>0.1229702387975522</v>
      </c>
      <c r="AM77" s="26">
        <f t="shared" si="58"/>
        <v>5.6159726350993866E-2</v>
      </c>
      <c r="AN77" s="26">
        <f t="shared" si="58"/>
        <v>-2.6225830335118161E-2</v>
      </c>
      <c r="AO77" s="26">
        <f t="shared" si="58"/>
        <v>0.34753576017876586</v>
      </c>
      <c r="AP77" s="26">
        <f t="shared" si="58"/>
        <v>0.13332342073383785</v>
      </c>
      <c r="AQ77" s="26">
        <f t="shared" si="58"/>
        <v>8.6521309004228497E-2</v>
      </c>
      <c r="AR77" s="26">
        <f t="shared" si="58"/>
        <v>4.2647248996359188E-2</v>
      </c>
      <c r="AS77" s="26">
        <f t="shared" si="57"/>
        <v>-2.7043582595998705E-2</v>
      </c>
      <c r="AT77" s="26">
        <f t="shared" si="57"/>
        <v>-0.12302623235690335</v>
      </c>
      <c r="AU77" s="26">
        <f t="shared" si="57"/>
        <v>-9.4184583431419888E-2</v>
      </c>
      <c r="AV77" s="26">
        <f t="shared" si="57"/>
        <v>-0.16675749696544784</v>
      </c>
      <c r="AW77" s="26">
        <f t="shared" si="57"/>
        <v>-0.14896461149552831</v>
      </c>
      <c r="AX77" s="26">
        <f t="shared" si="57"/>
        <v>0.2599577172119063</v>
      </c>
      <c r="AY77" s="26">
        <f t="shared" si="57"/>
        <v>-5.2172844138765107E-2</v>
      </c>
      <c r="AZ77" s="26">
        <f t="shared" si="57"/>
        <v>-1.752729041932044E-2</v>
      </c>
      <c r="BA77" s="26">
        <f t="shared" si="57"/>
        <v>-0.12159773339101509</v>
      </c>
      <c r="BB77" s="26">
        <f t="shared" si="57"/>
        <v>-1.9941644074332299E-2</v>
      </c>
      <c r="BC77" s="26">
        <f t="shared" si="57"/>
        <v>-1.5445176245666103E-2</v>
      </c>
      <c r="BD77" s="26">
        <f t="shared" si="57"/>
        <v>8.084618375564312E-2</v>
      </c>
      <c r="BE77" s="26">
        <f t="shared" si="57"/>
        <v>-6.5616689518048221E-2</v>
      </c>
      <c r="BF77" s="26">
        <f t="shared" si="57"/>
        <v>0.18994949640278547</v>
      </c>
      <c r="BG77" s="26">
        <f t="shared" si="57"/>
        <v>-5.3955847791266054E-2</v>
      </c>
      <c r="BH77" s="26">
        <f t="shared" si="57"/>
        <v>-3.3380813085409855E-2</v>
      </c>
      <c r="BI77" s="26">
        <f t="shared" si="57"/>
        <v>-0.25020664989272901</v>
      </c>
      <c r="BJ77" s="26">
        <f t="shared" si="57"/>
        <v>-0.36052319978869829</v>
      </c>
      <c r="BK77" s="26">
        <f t="shared" si="57"/>
        <v>-0.34188181220731506</v>
      </c>
      <c r="BL77" s="26">
        <f t="shared" si="57"/>
        <v>-0.40727895272412107</v>
      </c>
      <c r="BM77" s="26">
        <f t="shared" si="57"/>
        <v>-0.29708837008926181</v>
      </c>
      <c r="BN77" s="26">
        <f t="shared" si="57"/>
        <v>2.8757043183153641E-2</v>
      </c>
      <c r="BO77" s="26">
        <f t="shared" si="57"/>
        <v>-3.7399294154688789E-2</v>
      </c>
      <c r="BP77" s="26">
        <f t="shared" si="57"/>
        <v>0.26057963519277982</v>
      </c>
      <c r="BQ77" s="26">
        <f t="shared" ref="BQ77:CF85" si="59">BQ50/BE50-1</f>
        <v>-9.2265891083882612E-2</v>
      </c>
      <c r="BR77" s="26">
        <f t="shared" si="59"/>
        <v>-1.9281567727201909E-2</v>
      </c>
      <c r="BS77" s="26">
        <f t="shared" si="59"/>
        <v>0.49531493564523577</v>
      </c>
      <c r="BT77" s="26">
        <f t="shared" si="59"/>
        <v>0.18085723968015732</v>
      </c>
      <c r="BU77" s="26">
        <f t="shared" si="59"/>
        <v>0.98130567385539647</v>
      </c>
      <c r="BV77" s="26">
        <f t="shared" si="59"/>
        <v>0.72599318222980469</v>
      </c>
      <c r="BW77" s="26">
        <f t="shared" si="59"/>
        <v>0.61445374007579145</v>
      </c>
      <c r="BX77" s="26">
        <f t="shared" si="59"/>
        <v>0.21394469344654121</v>
      </c>
      <c r="BY77" s="26">
        <f t="shared" si="59"/>
        <v>0.38454533923370593</v>
      </c>
      <c r="BZ77" s="26">
        <f t="shared" si="55"/>
        <v>0.22957077137155601</v>
      </c>
      <c r="CA77" s="26">
        <f t="shared" si="55"/>
        <v>9.0990130536221292E-2</v>
      </c>
      <c r="CB77" s="26">
        <f t="shared" si="55"/>
        <v>0.10072931017445197</v>
      </c>
      <c r="CC77" s="26">
        <f t="shared" si="55"/>
        <v>0.13535822338477455</v>
      </c>
      <c r="CD77" s="26">
        <f t="shared" si="55"/>
        <v>0.12780905146626509</v>
      </c>
      <c r="CE77" s="26">
        <f t="shared" si="55"/>
        <v>-0.284432338693269</v>
      </c>
      <c r="CF77" s="26">
        <f t="shared" si="55"/>
        <v>-6.3368747907096568E-2</v>
      </c>
      <c r="CG77" s="26">
        <f t="shared" si="55"/>
        <v>-0.36106314392632721</v>
      </c>
      <c r="CH77" s="26">
        <f t="shared" si="55"/>
        <v>-0.33869504768901082</v>
      </c>
      <c r="CI77" s="26">
        <f t="shared" si="55"/>
        <v>0.10766210106212948</v>
      </c>
      <c r="CJ77" s="26">
        <f t="shared" si="55"/>
        <v>0.26292835372778445</v>
      </c>
      <c r="CK77" s="26">
        <f t="shared" si="55"/>
        <v>3.4262935051764698E-2</v>
      </c>
      <c r="CL77" s="26">
        <f t="shared" si="55"/>
        <v>-0.29456602427086109</v>
      </c>
      <c r="CM77" s="26">
        <f t="shared" si="55"/>
        <v>-0.20041464026138078</v>
      </c>
      <c r="CN77" s="26">
        <f t="shared" si="55"/>
        <v>-1</v>
      </c>
      <c r="CO77" s="26"/>
    </row>
    <row r="78" spans="14:93" x14ac:dyDescent="0.2">
      <c r="N78" s="26">
        <f t="shared" ref="N78:AC85" si="60">N51/B51-1</f>
        <v>-0.17825362871217187</v>
      </c>
      <c r="O78" s="26">
        <f t="shared" si="60"/>
        <v>-0.24281531982164883</v>
      </c>
      <c r="P78" s="26">
        <f t="shared" si="60"/>
        <v>-0.37120160197353924</v>
      </c>
      <c r="Q78" s="26">
        <f t="shared" si="60"/>
        <v>-0.39167529084656172</v>
      </c>
      <c r="R78" s="26">
        <f t="shared" si="60"/>
        <v>-0.31695322316161123</v>
      </c>
      <c r="S78" s="26">
        <f t="shared" si="60"/>
        <v>-0.29378949526675924</v>
      </c>
      <c r="T78" s="26">
        <f t="shared" si="60"/>
        <v>-0.20401703926431602</v>
      </c>
      <c r="U78" s="26">
        <f t="shared" si="60"/>
        <v>-0.15769281040339311</v>
      </c>
      <c r="V78" s="26">
        <f t="shared" si="60"/>
        <v>-0.36164247639682123</v>
      </c>
      <c r="W78" s="26">
        <f t="shared" si="60"/>
        <v>-0.1903751403616849</v>
      </c>
      <c r="X78" s="26">
        <f t="shared" si="60"/>
        <v>-0.34019821935513461</v>
      </c>
      <c r="Y78" s="26">
        <f t="shared" si="60"/>
        <v>0.16528567175565634</v>
      </c>
      <c r="Z78" s="26">
        <f t="shared" si="60"/>
        <v>2.455337154434889E-2</v>
      </c>
      <c r="AA78" s="26">
        <f t="shared" si="60"/>
        <v>1.275522512207683E-2</v>
      </c>
      <c r="AB78" s="26">
        <f t="shared" si="60"/>
        <v>0.58363248452126792</v>
      </c>
      <c r="AC78" s="26">
        <f t="shared" si="60"/>
        <v>0.62281109485977137</v>
      </c>
      <c r="AD78" s="26">
        <f t="shared" si="58"/>
        <v>0.27950854173759221</v>
      </c>
      <c r="AE78" s="26">
        <f t="shared" si="58"/>
        <v>9.7677862838837726E-2</v>
      </c>
      <c r="AF78" s="26">
        <f t="shared" si="58"/>
        <v>0.24128191863277659</v>
      </c>
      <c r="AG78" s="26">
        <f t="shared" si="58"/>
        <v>0.14347987841585996</v>
      </c>
      <c r="AH78" s="26">
        <f t="shared" si="58"/>
        <v>0.23188078809785329</v>
      </c>
      <c r="AI78" s="26">
        <f t="shared" si="58"/>
        <v>0.37343328133473674</v>
      </c>
      <c r="AJ78" s="26">
        <f t="shared" si="58"/>
        <v>0.14373886777372502</v>
      </c>
      <c r="AK78" s="26">
        <f t="shared" si="58"/>
        <v>-1.5598251087711623E-2</v>
      </c>
      <c r="AL78" s="26">
        <f t="shared" si="58"/>
        <v>-0.10541845644376813</v>
      </c>
      <c r="AM78" s="26">
        <f t="shared" si="58"/>
        <v>-6.5120723660558877E-3</v>
      </c>
      <c r="AN78" s="26">
        <f t="shared" si="58"/>
        <v>-0.23797222462728218</v>
      </c>
      <c r="AO78" s="26">
        <f t="shared" si="58"/>
        <v>-0.14577160004717804</v>
      </c>
      <c r="AP78" s="26">
        <f t="shared" si="58"/>
        <v>8.934948303083412E-2</v>
      </c>
      <c r="AQ78" s="26">
        <f t="shared" si="58"/>
        <v>-0.1064826068031357</v>
      </c>
      <c r="AR78" s="26">
        <f t="shared" si="58"/>
        <v>5.9613414964188038E-3</v>
      </c>
      <c r="AS78" s="26">
        <f t="shared" si="58"/>
        <v>4.9626149112806939E-3</v>
      </c>
      <c r="AT78" s="26">
        <f t="shared" ref="AT78:BP85" si="61">AT51/AH51-1</f>
        <v>0.101286412645607</v>
      </c>
      <c r="AU78" s="26">
        <f t="shared" si="61"/>
        <v>-0.17628656153134414</v>
      </c>
      <c r="AV78" s="26">
        <f t="shared" si="61"/>
        <v>1.7354690305268372E-2</v>
      </c>
      <c r="AW78" s="26">
        <f t="shared" si="61"/>
        <v>-0.11979969334416918</v>
      </c>
      <c r="AX78" s="26">
        <f t="shared" si="61"/>
        <v>0.34176943997396769</v>
      </c>
      <c r="AY78" s="26">
        <f t="shared" si="61"/>
        <v>0.3427851531977717</v>
      </c>
      <c r="AZ78" s="26">
        <f t="shared" si="61"/>
        <v>0.56800379142608559</v>
      </c>
      <c r="BA78" s="26">
        <f t="shared" si="61"/>
        <v>0.36619037277003574</v>
      </c>
      <c r="BB78" s="26">
        <f t="shared" si="61"/>
        <v>0.25198387342042849</v>
      </c>
      <c r="BC78" s="26">
        <f t="shared" si="61"/>
        <v>1.0122667978452329</v>
      </c>
      <c r="BD78" s="26">
        <f t="shared" si="61"/>
        <v>0.44793693786111954</v>
      </c>
      <c r="BE78" s="26">
        <f t="shared" si="61"/>
        <v>0.31312273990786421</v>
      </c>
      <c r="BF78" s="26">
        <f t="shared" si="61"/>
        <v>0.19562558077865622</v>
      </c>
      <c r="BG78" s="26">
        <f t="shared" si="61"/>
        <v>0.31649100711297362</v>
      </c>
      <c r="BH78" s="26">
        <f t="shared" si="61"/>
        <v>0.10818070706086336</v>
      </c>
      <c r="BI78" s="26">
        <f t="shared" si="61"/>
        <v>0.31369221546174053</v>
      </c>
      <c r="BJ78" s="26">
        <f t="shared" si="61"/>
        <v>-0.25978448113590746</v>
      </c>
      <c r="BK78" s="26">
        <f t="shared" si="61"/>
        <v>-0.23942760537765584</v>
      </c>
      <c r="BL78" s="26">
        <f t="shared" si="61"/>
        <v>-0.37396126111821959</v>
      </c>
      <c r="BM78" s="26">
        <f t="shared" si="61"/>
        <v>-0.29903748493242588</v>
      </c>
      <c r="BN78" s="26">
        <f t="shared" si="61"/>
        <v>-0.27255713637821277</v>
      </c>
      <c r="BO78" s="26">
        <f t="shared" si="61"/>
        <v>-0.50274672137075505</v>
      </c>
      <c r="BP78" s="26">
        <f t="shared" si="61"/>
        <v>-0.45018565288464141</v>
      </c>
      <c r="BQ78" s="26">
        <f t="shared" si="59"/>
        <v>-0.21983455771874916</v>
      </c>
      <c r="BR78" s="26">
        <f t="shared" si="59"/>
        <v>-0.2824522177010822</v>
      </c>
      <c r="BS78" s="26">
        <f t="shared" si="59"/>
        <v>-0.18086420844236961</v>
      </c>
      <c r="BT78" s="26">
        <f t="shared" si="59"/>
        <v>-0.10131515997439988</v>
      </c>
      <c r="BU78" s="26">
        <f t="shared" si="59"/>
        <v>-7.1362203110716504E-2</v>
      </c>
      <c r="BV78" s="26">
        <f t="shared" si="59"/>
        <v>0.30104645766411586</v>
      </c>
      <c r="BW78" s="26">
        <f t="shared" si="59"/>
        <v>0.18826430977936925</v>
      </c>
      <c r="BX78" s="26">
        <f t="shared" si="59"/>
        <v>0.23584205431649918</v>
      </c>
      <c r="BY78" s="26">
        <f t="shared" si="59"/>
        <v>0.26169888003996311</v>
      </c>
      <c r="BZ78" s="26">
        <f t="shared" si="55"/>
        <v>0.42129078646226881</v>
      </c>
      <c r="CA78" s="26">
        <f t="shared" si="55"/>
        <v>0.47439989372832403</v>
      </c>
      <c r="CB78" s="26">
        <f t="shared" si="55"/>
        <v>0.68562298026079538</v>
      </c>
      <c r="CC78" s="26">
        <f t="shared" si="55"/>
        <v>0.29779971562734042</v>
      </c>
      <c r="CD78" s="26">
        <f t="shared" si="55"/>
        <v>0.36902653387109741</v>
      </c>
      <c r="CE78" s="26">
        <f t="shared" si="55"/>
        <v>0.28189766276860762</v>
      </c>
      <c r="CF78" s="26">
        <f t="shared" si="55"/>
        <v>0.20744139639229031</v>
      </c>
      <c r="CG78" s="26">
        <f t="shared" si="55"/>
        <v>8.2533844365329401E-2</v>
      </c>
      <c r="CH78" s="26">
        <f t="shared" si="55"/>
        <v>0.12501555759985794</v>
      </c>
      <c r="CI78" s="26">
        <f t="shared" si="55"/>
        <v>1.4520482704590609E-2</v>
      </c>
      <c r="CJ78" s="26">
        <f t="shared" si="55"/>
        <v>-1.0623862197247647E-3</v>
      </c>
      <c r="CK78" s="26">
        <f t="shared" si="55"/>
        <v>1.0315625734953038E-2</v>
      </c>
      <c r="CL78" s="26">
        <f t="shared" si="55"/>
        <v>-8.6765122236821535E-3</v>
      </c>
      <c r="CM78" s="26">
        <f t="shared" si="55"/>
        <v>-0.17199034258491397</v>
      </c>
      <c r="CN78" s="26">
        <f t="shared" si="55"/>
        <v>-0.13720353972791399</v>
      </c>
      <c r="CO78" s="26"/>
    </row>
    <row r="79" spans="14:93" x14ac:dyDescent="0.2">
      <c r="N79" s="26">
        <f t="shared" si="60"/>
        <v>-0.47566091044780467</v>
      </c>
      <c r="O79" s="26">
        <f t="shared" si="60"/>
        <v>-8.6369939450014033E-2</v>
      </c>
      <c r="P79" s="26">
        <f t="shared" si="60"/>
        <v>-0.19070294833051149</v>
      </c>
      <c r="Q79" s="26">
        <f t="shared" si="60"/>
        <v>-0.41708974634032681</v>
      </c>
      <c r="R79" s="26">
        <f t="shared" si="60"/>
        <v>-0.4286146993645833</v>
      </c>
      <c r="S79" s="26">
        <f t="shared" si="60"/>
        <v>-0.29921822179934032</v>
      </c>
      <c r="T79" s="26">
        <f t="shared" si="60"/>
        <v>-0.163196210844201</v>
      </c>
      <c r="U79" s="26">
        <f t="shared" si="60"/>
        <v>-0.11208029005407338</v>
      </c>
      <c r="V79" s="26">
        <f t="shared" si="60"/>
        <v>-0.11389940422384304</v>
      </c>
      <c r="W79" s="26">
        <f t="shared" si="60"/>
        <v>-0.38471630012670988</v>
      </c>
      <c r="X79" s="26">
        <f t="shared" si="60"/>
        <v>-0.20461325007023068</v>
      </c>
      <c r="Y79" s="26">
        <f t="shared" si="60"/>
        <v>6.3752174263309813E-2</v>
      </c>
      <c r="Z79" s="26">
        <f t="shared" si="60"/>
        <v>-1.0282771615124031E-2</v>
      </c>
      <c r="AA79" s="26">
        <f t="shared" si="60"/>
        <v>0.2257124876719383</v>
      </c>
      <c r="AB79" s="26">
        <f t="shared" si="60"/>
        <v>0.23077979012822625</v>
      </c>
      <c r="AC79" s="26">
        <f t="shared" si="60"/>
        <v>1.3690315186031508</v>
      </c>
      <c r="AD79" s="26">
        <f t="shared" si="58"/>
        <v>1.6461957199407649</v>
      </c>
      <c r="AE79" s="26">
        <f t="shared" si="58"/>
        <v>1.1704762980756889</v>
      </c>
      <c r="AF79" s="26">
        <f t="shared" si="58"/>
        <v>1.0972914264158415</v>
      </c>
      <c r="AG79" s="26">
        <f t="shared" si="58"/>
        <v>1.0216743804414579</v>
      </c>
      <c r="AH79" s="26">
        <f t="shared" si="58"/>
        <v>0.83000475535810381</v>
      </c>
      <c r="AI79" s="26">
        <f t="shared" si="58"/>
        <v>0.47191105736531447</v>
      </c>
      <c r="AJ79" s="26">
        <f t="shared" si="58"/>
        <v>0.98350976343249741</v>
      </c>
      <c r="AK79" s="26">
        <f t="shared" si="58"/>
        <v>0.2550899359919292</v>
      </c>
      <c r="AL79" s="26">
        <f t="shared" si="58"/>
        <v>-8.0310360112576529E-3</v>
      </c>
      <c r="AM79" s="26">
        <f t="shared" si="58"/>
        <v>9.4585247724212618E-3</v>
      </c>
      <c r="AN79" s="26">
        <f t="shared" si="58"/>
        <v>0.2488946478556604</v>
      </c>
      <c r="AO79" s="26">
        <f t="shared" si="58"/>
        <v>-0.20908661013326524</v>
      </c>
      <c r="AP79" s="26">
        <f t="shared" si="58"/>
        <v>-0.14944437115598963</v>
      </c>
      <c r="AQ79" s="26">
        <f t="shared" si="58"/>
        <v>-0.19795218276191739</v>
      </c>
      <c r="AR79" s="26">
        <f t="shared" si="58"/>
        <v>-0.31843369683306133</v>
      </c>
      <c r="AS79" s="26">
        <f t="shared" si="58"/>
        <v>-0.34240935064078881</v>
      </c>
      <c r="AT79" s="26">
        <f t="shared" si="61"/>
        <v>-0.31184315294431653</v>
      </c>
      <c r="AU79" s="26">
        <f t="shared" si="61"/>
        <v>-0.13653457579973161</v>
      </c>
      <c r="AV79" s="26">
        <f t="shared" si="61"/>
        <v>-0.18458718129283169</v>
      </c>
      <c r="AW79" s="26">
        <f t="shared" si="61"/>
        <v>-0.17019067515473296</v>
      </c>
      <c r="AX79" s="26">
        <f t="shared" si="61"/>
        <v>8.499941880443429E-2</v>
      </c>
      <c r="AY79" s="26">
        <f t="shared" si="61"/>
        <v>-0.18802967543519211</v>
      </c>
      <c r="AZ79" s="26">
        <f t="shared" si="61"/>
        <v>-0.18341779590553409</v>
      </c>
      <c r="BA79" s="26">
        <f t="shared" si="61"/>
        <v>9.37927773738787E-2</v>
      </c>
      <c r="BB79" s="26">
        <f t="shared" si="61"/>
        <v>-0.13512088938223576</v>
      </c>
      <c r="BC79" s="26">
        <f t="shared" si="61"/>
        <v>-0.12047106061835211</v>
      </c>
      <c r="BD79" s="26">
        <f t="shared" si="61"/>
        <v>-7.5656222378608473E-2</v>
      </c>
      <c r="BE79" s="26">
        <f t="shared" si="61"/>
        <v>-0.11462908932430116</v>
      </c>
      <c r="BF79" s="26">
        <f t="shared" si="61"/>
        <v>0.14457927031569806</v>
      </c>
      <c r="BG79" s="26">
        <f t="shared" si="61"/>
        <v>-0.1258963536062393</v>
      </c>
      <c r="BH79" s="26">
        <f t="shared" si="61"/>
        <v>-3.4315487120165078E-2</v>
      </c>
      <c r="BI79" s="26">
        <f t="shared" si="61"/>
        <v>-0.17788842561378593</v>
      </c>
      <c r="BJ79" s="26">
        <f t="shared" si="61"/>
        <v>-0.37798849278684099</v>
      </c>
      <c r="BK79" s="26">
        <f t="shared" si="61"/>
        <v>-0.13927173003825022</v>
      </c>
      <c r="BL79" s="26">
        <f t="shared" si="61"/>
        <v>-0.18726644217544219</v>
      </c>
      <c r="BM79" s="26">
        <f t="shared" si="61"/>
        <v>-0.41124564129353536</v>
      </c>
      <c r="BN79" s="26">
        <f t="shared" si="61"/>
        <v>-0.21739926740660565</v>
      </c>
      <c r="BO79" s="26">
        <f t="shared" si="61"/>
        <v>-6.9782878233979329E-2</v>
      </c>
      <c r="BP79" s="26">
        <f t="shared" si="61"/>
        <v>-3.9873902411524775E-2</v>
      </c>
      <c r="BQ79" s="26">
        <f t="shared" si="59"/>
        <v>-5.3398416881641597E-2</v>
      </c>
      <c r="BR79" s="26">
        <f t="shared" si="59"/>
        <v>-0.1055642909172303</v>
      </c>
      <c r="BS79" s="26">
        <f t="shared" si="59"/>
        <v>0.2569640418552086</v>
      </c>
      <c r="BT79" s="26">
        <f t="shared" si="59"/>
        <v>0.14645111652441822</v>
      </c>
      <c r="BU79" s="26">
        <f t="shared" si="59"/>
        <v>0.25993083677074069</v>
      </c>
      <c r="BV79" s="26">
        <f t="shared" si="59"/>
        <v>0.89342471238632948</v>
      </c>
      <c r="BW79" s="26">
        <f t="shared" si="59"/>
        <v>0.3675182944595079</v>
      </c>
      <c r="BX79" s="26">
        <f t="shared" si="59"/>
        <v>0.49367708506470853</v>
      </c>
      <c r="BY79" s="26">
        <f t="shared" si="59"/>
        <v>0.65685332467060564</v>
      </c>
      <c r="BZ79" s="26">
        <f t="shared" si="55"/>
        <v>0.36988377856230614</v>
      </c>
      <c r="CA79" s="26">
        <f t="shared" si="55"/>
        <v>0.18758684106482004</v>
      </c>
      <c r="CB79" s="26">
        <f t="shared" si="55"/>
        <v>0.18743620976529307</v>
      </c>
      <c r="CC79" s="26">
        <f t="shared" si="55"/>
        <v>0.15239269120123455</v>
      </c>
      <c r="CD79" s="26">
        <f t="shared" si="55"/>
        <v>0.17321817022652275</v>
      </c>
      <c r="CE79" s="26">
        <f t="shared" si="55"/>
        <v>0.13625937700297208</v>
      </c>
      <c r="CF79" s="26">
        <f t="shared" si="55"/>
        <v>4.1899796766348807E-2</v>
      </c>
      <c r="CG79" s="26">
        <f t="shared" si="55"/>
        <v>0.13400585561358125</v>
      </c>
      <c r="CH79" s="26">
        <f t="shared" si="55"/>
        <v>-1.3517117828628078E-2</v>
      </c>
      <c r="CI79" s="26">
        <f t="shared" si="55"/>
        <v>1.005499225794626E-2</v>
      </c>
      <c r="CJ79" s="26">
        <f t="shared" si="55"/>
        <v>-5.3010999965491523E-3</v>
      </c>
      <c r="CK79" s="26">
        <f t="shared" si="55"/>
        <v>-3.8999982460743099E-2</v>
      </c>
      <c r="CL79" s="26">
        <f t="shared" si="55"/>
        <v>9.8025914154260985E-2</v>
      </c>
      <c r="CM79" s="26">
        <f t="shared" si="55"/>
        <v>-3.1777531086208621E-2</v>
      </c>
      <c r="CN79" s="26">
        <f t="shared" si="55"/>
        <v>-0.14101834385015022</v>
      </c>
      <c r="CO79" s="26"/>
    </row>
    <row r="80" spans="14:93" x14ac:dyDescent="0.2">
      <c r="N80" s="26">
        <f t="shared" si="60"/>
        <v>-2.3970877530659074E-3</v>
      </c>
      <c r="O80" s="26">
        <f t="shared" si="60"/>
        <v>-2.9465507247841027E-2</v>
      </c>
      <c r="P80" s="26">
        <f t="shared" si="60"/>
        <v>-0.10482910762713271</v>
      </c>
      <c r="Q80" s="26">
        <f t="shared" si="60"/>
        <v>-0.66891248316220919</v>
      </c>
      <c r="R80" s="26">
        <f t="shared" si="60"/>
        <v>-0.55098381845370281</v>
      </c>
      <c r="S80" s="26">
        <f t="shared" si="60"/>
        <v>-0.33883359796919144</v>
      </c>
      <c r="T80" s="26">
        <f t="shared" si="60"/>
        <v>-0.42163092047963013</v>
      </c>
      <c r="U80" s="26">
        <f t="shared" si="60"/>
        <v>-0.20118127519489604</v>
      </c>
      <c r="V80" s="26">
        <f t="shared" si="60"/>
        <v>-0.58221721682186289</v>
      </c>
      <c r="W80" s="26">
        <f t="shared" si="60"/>
        <v>7.746345424095713E-2</v>
      </c>
      <c r="X80" s="26">
        <f t="shared" si="60"/>
        <v>-0.37975599658879355</v>
      </c>
      <c r="Y80" s="26">
        <f t="shared" si="60"/>
        <v>-3.1714731719652112E-2</v>
      </c>
      <c r="Z80" s="26">
        <f t="shared" si="60"/>
        <v>0.13781031532953736</v>
      </c>
      <c r="AA80" s="26">
        <f t="shared" si="60"/>
        <v>8.1476460901893422E-2</v>
      </c>
      <c r="AB80" s="26">
        <f t="shared" si="60"/>
        <v>0.37308943058178823</v>
      </c>
      <c r="AC80" s="26">
        <f t="shared" si="60"/>
        <v>1.4361111191757883</v>
      </c>
      <c r="AD80" s="26">
        <f t="shared" si="58"/>
        <v>1.2107678312496648</v>
      </c>
      <c r="AE80" s="26">
        <f t="shared" si="58"/>
        <v>0.49847516561053795</v>
      </c>
      <c r="AF80" s="26">
        <f t="shared" si="58"/>
        <v>0.43772760987452708</v>
      </c>
      <c r="AG80" s="26">
        <f t="shared" si="58"/>
        <v>0.25770355982552506</v>
      </c>
      <c r="AH80" s="26">
        <f t="shared" si="58"/>
        <v>0.94708124407134253</v>
      </c>
      <c r="AI80" s="26">
        <f t="shared" si="58"/>
        <v>4.6836781738836208E-2</v>
      </c>
      <c r="AJ80" s="26">
        <f t="shared" si="58"/>
        <v>0.21861797660054672</v>
      </c>
      <c r="AK80" s="26">
        <f t="shared" si="58"/>
        <v>0.38739717348847247</v>
      </c>
      <c r="AL80" s="26">
        <f t="shared" si="58"/>
        <v>0.27198910297887036</v>
      </c>
      <c r="AM80" s="26">
        <f t="shared" si="58"/>
        <v>0.31881898843494638</v>
      </c>
      <c r="AN80" s="26">
        <f t="shared" si="58"/>
        <v>0.47945400314287201</v>
      </c>
      <c r="AO80" s="26">
        <f t="shared" si="58"/>
        <v>0.10307841270008034</v>
      </c>
      <c r="AP80" s="26">
        <f t="shared" si="58"/>
        <v>5.7372084432388837E-2</v>
      </c>
      <c r="AQ80" s="26">
        <f t="shared" si="58"/>
        <v>0.19573744337064181</v>
      </c>
      <c r="AR80" s="26">
        <f t="shared" si="58"/>
        <v>0.15004827977462298</v>
      </c>
      <c r="AS80" s="26">
        <f t="shared" si="58"/>
        <v>0.27311876005161606</v>
      </c>
      <c r="AT80" s="26">
        <f t="shared" si="61"/>
        <v>0.11284984747439686</v>
      </c>
      <c r="AU80" s="26">
        <f t="shared" si="61"/>
        <v>2.2225340695684048E-2</v>
      </c>
      <c r="AV80" s="26">
        <f t="shared" si="61"/>
        <v>-9.3956546420554843E-2</v>
      </c>
      <c r="AW80" s="26">
        <f t="shared" si="61"/>
        <v>-5.4599377288920392E-2</v>
      </c>
      <c r="AX80" s="26">
        <f t="shared" si="61"/>
        <v>0.22229903671837636</v>
      </c>
      <c r="AY80" s="26">
        <f t="shared" si="61"/>
        <v>-9.7343127433663246E-2</v>
      </c>
      <c r="AZ80" s="26">
        <f t="shared" si="61"/>
        <v>-0.22590249409742624</v>
      </c>
      <c r="BA80" s="26">
        <f t="shared" si="61"/>
        <v>0.23652635759877794</v>
      </c>
      <c r="BB80" s="26">
        <f t="shared" si="61"/>
        <v>0.20697759866581134</v>
      </c>
      <c r="BC80" s="26">
        <f t="shared" si="61"/>
        <v>-5.4564538664201412E-2</v>
      </c>
      <c r="BD80" s="26">
        <f t="shared" si="61"/>
        <v>0.16018345712228332</v>
      </c>
      <c r="BE80" s="26">
        <f t="shared" si="61"/>
        <v>-7.5219337631873939E-2</v>
      </c>
      <c r="BF80" s="26">
        <f t="shared" si="61"/>
        <v>-0.11705182520478319</v>
      </c>
      <c r="BG80" s="26">
        <f t="shared" si="61"/>
        <v>1.0547741514971953E-2</v>
      </c>
      <c r="BH80" s="26">
        <f t="shared" si="61"/>
        <v>-5.0744976837201472E-3</v>
      </c>
      <c r="BI80" s="26">
        <f t="shared" si="61"/>
        <v>-0.29063446704985652</v>
      </c>
      <c r="BJ80" s="26">
        <f t="shared" si="61"/>
        <v>-0.35668207594015211</v>
      </c>
      <c r="BK80" s="26">
        <f t="shared" si="61"/>
        <v>-0.46405169723233863</v>
      </c>
      <c r="BL80" s="26">
        <f t="shared" si="61"/>
        <v>-0.38772201842482157</v>
      </c>
      <c r="BM80" s="26">
        <f t="shared" si="61"/>
        <v>-0.34668839839421617</v>
      </c>
      <c r="BN80" s="26">
        <f t="shared" si="61"/>
        <v>-0.21403367932113104</v>
      </c>
      <c r="BO80" s="26">
        <f t="shared" si="61"/>
        <v>9.49986684640034E-2</v>
      </c>
      <c r="BP80" s="26">
        <f t="shared" si="61"/>
        <v>0.22562200040775071</v>
      </c>
      <c r="BQ80" s="26">
        <f t="shared" si="59"/>
        <v>-0.12277456741443837</v>
      </c>
      <c r="BR80" s="26">
        <f t="shared" si="59"/>
        <v>0.29147304716599565</v>
      </c>
      <c r="BS80" s="26">
        <f t="shared" si="59"/>
        <v>0.81556040000507601</v>
      </c>
      <c r="BT80" s="26">
        <f t="shared" si="59"/>
        <v>0.47592592279513402</v>
      </c>
      <c r="BU80" s="26">
        <f t="shared" si="59"/>
        <v>0.55806150247558439</v>
      </c>
      <c r="BV80" s="26">
        <f t="shared" si="59"/>
        <v>0.6755100024764773</v>
      </c>
      <c r="BW80" s="26">
        <f t="shared" si="59"/>
        <v>1.2966693645365859</v>
      </c>
      <c r="BX80" s="26">
        <f t="shared" si="59"/>
        <v>0.74406711220301225</v>
      </c>
      <c r="BY80" s="26">
        <f t="shared" si="59"/>
        <v>0.42148580179141315</v>
      </c>
      <c r="BZ80" s="26">
        <f t="shared" si="59"/>
        <v>0.41236267070918831</v>
      </c>
      <c r="CA80" s="26">
        <f t="shared" si="59"/>
        <v>8.9629462386343617E-2</v>
      </c>
      <c r="CB80" s="26">
        <f t="shared" si="59"/>
        <v>-0.13686001446383811</v>
      </c>
      <c r="CC80" s="26">
        <f t="shared" si="59"/>
        <v>7.7175332950479181E-2</v>
      </c>
      <c r="CD80" s="26">
        <f t="shared" si="59"/>
        <v>-1.618667928303863E-2</v>
      </c>
      <c r="CE80" s="26">
        <f t="shared" si="59"/>
        <v>-0.30883563842031225</v>
      </c>
      <c r="CF80" s="26">
        <f t="shared" si="59"/>
        <v>-0.26583083724133116</v>
      </c>
      <c r="CG80" s="26">
        <f t="shared" ref="CG80:CN85" si="62">CG53/BU53-1</f>
        <v>-1.3431407868828793E-2</v>
      </c>
      <c r="CH80" s="26">
        <f t="shared" si="62"/>
        <v>-0.14821849165383294</v>
      </c>
      <c r="CI80" s="26">
        <f t="shared" si="62"/>
        <v>-0.1728112067617773</v>
      </c>
      <c r="CJ80" s="26">
        <f t="shared" si="62"/>
        <v>-0.1163616660512099</v>
      </c>
      <c r="CK80" s="26">
        <f t="shared" si="62"/>
        <v>0.24531134149210687</v>
      </c>
      <c r="CL80" s="26">
        <f t="shared" si="62"/>
        <v>-0.19150712388517543</v>
      </c>
      <c r="CM80" s="26">
        <f t="shared" si="62"/>
        <v>-4.2504456199256246E-2</v>
      </c>
      <c r="CN80" s="26">
        <f t="shared" si="62"/>
        <v>-0.20600195103299179</v>
      </c>
      <c r="CO80" s="26"/>
    </row>
    <row r="81" spans="14:93" x14ac:dyDescent="0.2">
      <c r="N81" s="26">
        <f t="shared" si="60"/>
        <v>-0.18713895993631213</v>
      </c>
      <c r="O81" s="26">
        <f t="shared" si="60"/>
        <v>-0.13265389545646911</v>
      </c>
      <c r="P81" s="26">
        <f t="shared" si="60"/>
        <v>-0.21008269562851323</v>
      </c>
      <c r="Q81" s="26">
        <f t="shared" si="60"/>
        <v>-0.51762698171853039</v>
      </c>
      <c r="R81" s="26">
        <f t="shared" si="60"/>
        <v>-0.44386777406052824</v>
      </c>
      <c r="S81" s="26">
        <f t="shared" si="60"/>
        <v>-0.30768920392725574</v>
      </c>
      <c r="T81" s="26">
        <f t="shared" si="60"/>
        <v>-1.6817543803078761E-2</v>
      </c>
      <c r="U81" s="26">
        <f t="shared" si="60"/>
        <v>-0.13380344441920111</v>
      </c>
      <c r="V81" s="26">
        <f t="shared" si="60"/>
        <v>2.8663317115791953E-2</v>
      </c>
      <c r="W81" s="26">
        <f t="shared" si="60"/>
        <v>-7.5072103357351816E-2</v>
      </c>
      <c r="X81" s="26">
        <f t="shared" si="60"/>
        <v>6.0302609818756459E-3</v>
      </c>
      <c r="Y81" s="26">
        <f t="shared" si="60"/>
        <v>-2.5919652081813016E-2</v>
      </c>
      <c r="Z81" s="26">
        <f t="shared" si="60"/>
        <v>7.040091109490576E-2</v>
      </c>
      <c r="AA81" s="26">
        <f t="shared" si="60"/>
        <v>3.5874967201037E-2</v>
      </c>
      <c r="AB81" s="26">
        <f t="shared" si="60"/>
        <v>0.47811830748119499</v>
      </c>
      <c r="AC81" s="26">
        <f t="shared" si="60"/>
        <v>1.0972094444274552</v>
      </c>
      <c r="AD81" s="26">
        <f t="shared" si="58"/>
        <v>0.86663906550636671</v>
      </c>
      <c r="AE81" s="26">
        <f t="shared" si="58"/>
        <v>0.21597755214984105</v>
      </c>
      <c r="AF81" s="26">
        <f t="shared" si="58"/>
        <v>0.13013434267587343</v>
      </c>
      <c r="AG81" s="26">
        <f t="shared" si="58"/>
        <v>0.17878318121582271</v>
      </c>
      <c r="AH81" s="26">
        <f t="shared" si="58"/>
        <v>0.1512970343975697</v>
      </c>
      <c r="AI81" s="26">
        <f t="shared" si="58"/>
        <v>0.11590921544818289</v>
      </c>
      <c r="AJ81" s="26">
        <f t="shared" si="58"/>
        <v>0.1661738853215815</v>
      </c>
      <c r="AK81" s="26">
        <f t="shared" si="58"/>
        <v>0.12066051664436683</v>
      </c>
      <c r="AL81" s="26">
        <f t="shared" si="58"/>
        <v>1.6482848315272802E-2</v>
      </c>
      <c r="AM81" s="26">
        <f t="shared" si="58"/>
        <v>5.627915285932894E-2</v>
      </c>
      <c r="AN81" s="26">
        <f t="shared" si="58"/>
        <v>-9.9653285926838531E-2</v>
      </c>
      <c r="AO81" s="26">
        <f t="shared" si="58"/>
        <v>3.064835876540517E-2</v>
      </c>
      <c r="AP81" s="26">
        <f t="shared" si="58"/>
        <v>8.5197872792546647E-2</v>
      </c>
      <c r="AQ81" s="26">
        <f t="shared" si="58"/>
        <v>0.13264265715517398</v>
      </c>
      <c r="AR81" s="26">
        <f t="shared" si="58"/>
        <v>-1.084150870521261E-2</v>
      </c>
      <c r="AS81" s="26">
        <f t="shared" si="58"/>
        <v>-0.11022766895697822</v>
      </c>
      <c r="AT81" s="26">
        <f t="shared" si="61"/>
        <v>-9.9619929963626119E-2</v>
      </c>
      <c r="AU81" s="26">
        <f t="shared" si="61"/>
        <v>-2.7149145437326716E-2</v>
      </c>
      <c r="AV81" s="26">
        <f t="shared" si="61"/>
        <v>-0.19004150625161864</v>
      </c>
      <c r="AW81" s="26">
        <f t="shared" si="61"/>
        <v>-9.504309951789669E-2</v>
      </c>
      <c r="AX81" s="26">
        <f t="shared" si="61"/>
        <v>-0.10429683220827191</v>
      </c>
      <c r="AY81" s="26">
        <f t="shared" si="61"/>
        <v>-0.11083011501455386</v>
      </c>
      <c r="AZ81" s="26">
        <f t="shared" si="61"/>
        <v>-0.17986079636766228</v>
      </c>
      <c r="BA81" s="26">
        <f t="shared" si="61"/>
        <v>-0.1481688062136215</v>
      </c>
      <c r="BB81" s="26">
        <f t="shared" si="61"/>
        <v>-0.25258521500548892</v>
      </c>
      <c r="BC81" s="26">
        <f t="shared" si="61"/>
        <v>-0.20655538046432764</v>
      </c>
      <c r="BD81" s="26">
        <f t="shared" si="61"/>
        <v>-0.12479373841589181</v>
      </c>
      <c r="BE81" s="26">
        <f t="shared" si="61"/>
        <v>-6.508393352595998E-2</v>
      </c>
      <c r="BF81" s="26">
        <f t="shared" si="61"/>
        <v>-0.21073393834736975</v>
      </c>
      <c r="BG81" s="26">
        <f t="shared" si="61"/>
        <v>-0.19732427539794706</v>
      </c>
      <c r="BH81" s="26">
        <f t="shared" si="61"/>
        <v>-0.23487047580347697</v>
      </c>
      <c r="BI81" s="26">
        <f t="shared" si="61"/>
        <v>-0.2364142573379826</v>
      </c>
      <c r="BJ81" s="26">
        <f t="shared" si="61"/>
        <v>-0.37257772792197541</v>
      </c>
      <c r="BK81" s="26">
        <f t="shared" si="61"/>
        <v>-0.27690333067877182</v>
      </c>
      <c r="BL81" s="26">
        <f t="shared" si="61"/>
        <v>-0.2339034171317258</v>
      </c>
      <c r="BM81" s="26">
        <f t="shared" si="61"/>
        <v>-0.397082946859039</v>
      </c>
      <c r="BN81" s="26">
        <f t="shared" si="61"/>
        <v>-0.15387629715946394</v>
      </c>
      <c r="BO81" s="26">
        <f t="shared" si="61"/>
        <v>-0.15555494067417408</v>
      </c>
      <c r="BP81" s="26">
        <f t="shared" si="61"/>
        <v>-0.18472194998052482</v>
      </c>
      <c r="BQ81" s="26">
        <f t="shared" si="59"/>
        <v>-6.1597965107789143E-3</v>
      </c>
      <c r="BR81" s="26">
        <f t="shared" si="59"/>
        <v>3.8208644472945696E-3</v>
      </c>
      <c r="BS81" s="26">
        <f t="shared" si="59"/>
        <v>0.15224090517202993</v>
      </c>
      <c r="BT81" s="26">
        <f t="shared" si="59"/>
        <v>0.21334932897171854</v>
      </c>
      <c r="BU81" s="26">
        <f t="shared" si="59"/>
        <v>0.16485681749824788</v>
      </c>
      <c r="BV81" s="26">
        <f t="shared" si="59"/>
        <v>0.72869049301914202</v>
      </c>
      <c r="BW81" s="26">
        <f t="shared" si="59"/>
        <v>0.45686317426212075</v>
      </c>
      <c r="BX81" s="26">
        <f t="shared" si="59"/>
        <v>0.43642277541812469</v>
      </c>
      <c r="BY81" s="26">
        <f t="shared" si="59"/>
        <v>0.89706367151254862</v>
      </c>
      <c r="BZ81" s="26">
        <f t="shared" si="59"/>
        <v>0.30028395080264381</v>
      </c>
      <c r="CA81" s="26">
        <f t="shared" si="59"/>
        <v>0.30988780959691797</v>
      </c>
      <c r="CB81" s="26">
        <f t="shared" si="59"/>
        <v>0.42723462722328143</v>
      </c>
      <c r="CC81" s="26">
        <f t="shared" si="59"/>
        <v>0.24814699182380595</v>
      </c>
      <c r="CD81" s="26">
        <f t="shared" si="59"/>
        <v>0.45286884210898037</v>
      </c>
      <c r="CE81" s="26">
        <f t="shared" si="59"/>
        <v>0.25992470147906999</v>
      </c>
      <c r="CF81" s="26">
        <f t="shared" si="59"/>
        <v>0.21608443446717929</v>
      </c>
      <c r="CG81" s="26">
        <f t="shared" si="62"/>
        <v>0.11733508774653778</v>
      </c>
      <c r="CH81" s="26">
        <f t="shared" si="62"/>
        <v>5.3133932983156829E-2</v>
      </c>
      <c r="CI81" s="26">
        <f t="shared" si="62"/>
        <v>-1.5826701024985734E-3</v>
      </c>
      <c r="CJ81" s="26">
        <f t="shared" si="62"/>
        <v>-1.2525038621564732E-3</v>
      </c>
      <c r="CK81" s="26">
        <f t="shared" si="62"/>
        <v>-9.6495348504759826E-2</v>
      </c>
      <c r="CL81" s="26">
        <f t="shared" si="62"/>
        <v>1.7193564587023591E-3</v>
      </c>
      <c r="CM81" s="26">
        <f t="shared" si="62"/>
        <v>-8.285687946509035E-2</v>
      </c>
      <c r="CN81" s="26">
        <f t="shared" si="62"/>
        <v>-1</v>
      </c>
      <c r="CO81" s="26"/>
    </row>
    <row r="82" spans="14:93" x14ac:dyDescent="0.2">
      <c r="N82" s="26" t="e">
        <f t="shared" si="60"/>
        <v>#VALUE!</v>
      </c>
      <c r="O82" s="26" t="e">
        <f t="shared" si="60"/>
        <v>#VALUE!</v>
      </c>
      <c r="P82" s="26" t="e">
        <f t="shared" si="60"/>
        <v>#VALUE!</v>
      </c>
      <c r="Q82" s="26" t="e">
        <f t="shared" si="60"/>
        <v>#VALUE!</v>
      </c>
      <c r="R82" s="26" t="e">
        <f t="shared" si="60"/>
        <v>#VALUE!</v>
      </c>
      <c r="S82" s="26" t="e">
        <f t="shared" si="60"/>
        <v>#VALUE!</v>
      </c>
      <c r="T82" s="26" t="e">
        <f t="shared" si="60"/>
        <v>#VALUE!</v>
      </c>
      <c r="U82" s="26" t="e">
        <f t="shared" si="60"/>
        <v>#VALUE!</v>
      </c>
      <c r="V82" s="26" t="e">
        <f t="shared" si="60"/>
        <v>#VALUE!</v>
      </c>
      <c r="W82" s="26" t="e">
        <f t="shared" si="60"/>
        <v>#VALUE!</v>
      </c>
      <c r="X82" s="26" t="e">
        <f t="shared" si="60"/>
        <v>#VALUE!</v>
      </c>
      <c r="Y82" s="26" t="e">
        <f t="shared" si="60"/>
        <v>#VALUE!</v>
      </c>
      <c r="Z82" s="26" t="e">
        <f t="shared" si="60"/>
        <v>#VALUE!</v>
      </c>
      <c r="AA82" s="26" t="e">
        <f t="shared" si="60"/>
        <v>#VALUE!</v>
      </c>
      <c r="AB82" s="26" t="e">
        <f t="shared" si="60"/>
        <v>#VALUE!</v>
      </c>
      <c r="AC82" s="26" t="e">
        <f t="shared" si="60"/>
        <v>#VALUE!</v>
      </c>
      <c r="AD82" s="26" t="e">
        <f t="shared" si="58"/>
        <v>#VALUE!</v>
      </c>
      <c r="AE82" s="26" t="e">
        <f t="shared" si="58"/>
        <v>#VALUE!</v>
      </c>
      <c r="AF82" s="26" t="e">
        <f t="shared" si="58"/>
        <v>#VALUE!</v>
      </c>
      <c r="AG82" s="26" t="e">
        <f t="shared" si="58"/>
        <v>#VALUE!</v>
      </c>
      <c r="AH82" s="26" t="e">
        <f t="shared" si="58"/>
        <v>#VALUE!</v>
      </c>
      <c r="AI82" s="26" t="e">
        <f t="shared" si="58"/>
        <v>#VALUE!</v>
      </c>
      <c r="AJ82" s="26" t="e">
        <f t="shared" si="58"/>
        <v>#VALUE!</v>
      </c>
      <c r="AK82" s="26" t="e">
        <f t="shared" si="58"/>
        <v>#VALUE!</v>
      </c>
      <c r="AL82" s="26" t="e">
        <f t="shared" si="58"/>
        <v>#VALUE!</v>
      </c>
      <c r="AM82" s="26" t="e">
        <f t="shared" si="58"/>
        <v>#VALUE!</v>
      </c>
      <c r="AN82" s="26" t="e">
        <f t="shared" si="58"/>
        <v>#VALUE!</v>
      </c>
      <c r="AO82" s="26" t="e">
        <f t="shared" si="58"/>
        <v>#VALUE!</v>
      </c>
      <c r="AP82" s="26" t="e">
        <f t="shared" si="58"/>
        <v>#VALUE!</v>
      </c>
      <c r="AQ82" s="26" t="e">
        <f t="shared" si="58"/>
        <v>#VALUE!</v>
      </c>
      <c r="AR82" s="26" t="e">
        <f t="shared" si="58"/>
        <v>#VALUE!</v>
      </c>
      <c r="AS82" s="26" t="e">
        <f t="shared" si="58"/>
        <v>#VALUE!</v>
      </c>
      <c r="AT82" s="26" t="e">
        <f t="shared" si="61"/>
        <v>#VALUE!</v>
      </c>
      <c r="AU82" s="26" t="e">
        <f t="shared" si="61"/>
        <v>#VALUE!</v>
      </c>
      <c r="AV82" s="26" t="e">
        <f t="shared" si="61"/>
        <v>#VALUE!</v>
      </c>
      <c r="AW82" s="26" t="e">
        <f t="shared" si="61"/>
        <v>#VALUE!</v>
      </c>
      <c r="AX82" s="26" t="e">
        <f t="shared" si="61"/>
        <v>#VALUE!</v>
      </c>
      <c r="AY82" s="26" t="e">
        <f t="shared" si="61"/>
        <v>#VALUE!</v>
      </c>
      <c r="AZ82" s="26" t="e">
        <f t="shared" si="61"/>
        <v>#VALUE!</v>
      </c>
      <c r="BA82" s="26" t="e">
        <f t="shared" si="61"/>
        <v>#VALUE!</v>
      </c>
      <c r="BB82" s="26" t="e">
        <f t="shared" si="61"/>
        <v>#VALUE!</v>
      </c>
      <c r="BC82" s="26" t="e">
        <f t="shared" si="61"/>
        <v>#VALUE!</v>
      </c>
      <c r="BD82" s="26" t="e">
        <f t="shared" si="61"/>
        <v>#VALUE!</v>
      </c>
      <c r="BE82" s="26" t="e">
        <f t="shared" si="61"/>
        <v>#VALUE!</v>
      </c>
      <c r="BF82" s="26" t="e">
        <f t="shared" si="61"/>
        <v>#VALUE!</v>
      </c>
      <c r="BG82" s="26" t="e">
        <f t="shared" si="61"/>
        <v>#VALUE!</v>
      </c>
      <c r="BH82" s="26" t="e">
        <f t="shared" si="61"/>
        <v>#VALUE!</v>
      </c>
      <c r="BI82" s="26" t="e">
        <f t="shared" si="61"/>
        <v>#VALUE!</v>
      </c>
      <c r="BJ82" s="26" t="e">
        <f t="shared" si="61"/>
        <v>#VALUE!</v>
      </c>
      <c r="BK82" s="26" t="e">
        <f t="shared" si="61"/>
        <v>#VALUE!</v>
      </c>
      <c r="BL82" s="26" t="e">
        <f t="shared" si="61"/>
        <v>#VALUE!</v>
      </c>
      <c r="BM82" s="26" t="e">
        <f t="shared" si="61"/>
        <v>#VALUE!</v>
      </c>
      <c r="BN82" s="26" t="e">
        <f t="shared" si="61"/>
        <v>#VALUE!</v>
      </c>
      <c r="BO82" s="26" t="e">
        <f t="shared" si="61"/>
        <v>#VALUE!</v>
      </c>
      <c r="BP82" s="26" t="e">
        <f t="shared" si="61"/>
        <v>#VALUE!</v>
      </c>
      <c r="BQ82" s="26" t="e">
        <f t="shared" si="59"/>
        <v>#VALUE!</v>
      </c>
      <c r="BR82" s="26" t="e">
        <f t="shared" si="59"/>
        <v>#VALUE!</v>
      </c>
      <c r="BS82" s="26" t="e">
        <f t="shared" si="59"/>
        <v>#VALUE!</v>
      </c>
      <c r="BT82" s="26" t="e">
        <f t="shared" si="59"/>
        <v>#VALUE!</v>
      </c>
      <c r="BU82" s="26" t="e">
        <f t="shared" si="59"/>
        <v>#VALUE!</v>
      </c>
      <c r="BV82" s="26">
        <f t="shared" si="59"/>
        <v>0.15772746162238249</v>
      </c>
      <c r="BW82" s="26">
        <f t="shared" si="59"/>
        <v>4.981487891940195E-2</v>
      </c>
      <c r="BX82" s="26">
        <f t="shared" si="59"/>
        <v>0.22842343245768637</v>
      </c>
      <c r="BY82" s="26">
        <f t="shared" si="59"/>
        <v>8.555314541961323E-2</v>
      </c>
      <c r="BZ82" s="26">
        <f t="shared" si="59"/>
        <v>0.77333747020010879</v>
      </c>
      <c r="CA82" s="26">
        <f t="shared" si="59"/>
        <v>0.52329270051627863</v>
      </c>
      <c r="CB82" s="26">
        <f t="shared" si="59"/>
        <v>0.31965185779967009</v>
      </c>
      <c r="CC82" s="26">
        <f t="shared" si="59"/>
        <v>0.36916165140642132</v>
      </c>
      <c r="CD82" s="26">
        <f t="shared" si="59"/>
        <v>0.75180869365372405</v>
      </c>
      <c r="CE82" s="26">
        <f t="shared" si="59"/>
        <v>0.52303887477976563</v>
      </c>
      <c r="CF82" s="26">
        <f t="shared" si="59"/>
        <v>0.39732928626027308</v>
      </c>
      <c r="CG82" s="26">
        <f t="shared" si="62"/>
        <v>0.11446246576812125</v>
      </c>
      <c r="CH82" s="26">
        <f t="shared" si="62"/>
        <v>4.1766755286981594E-2</v>
      </c>
      <c r="CI82" s="26">
        <f t="shared" si="62"/>
        <v>0.42786026553978829</v>
      </c>
      <c r="CJ82" s="26">
        <f t="shared" si="62"/>
        <v>-5.8164037444478844E-2</v>
      </c>
      <c r="CK82" s="26">
        <f t="shared" si="62"/>
        <v>0.11331385796048954</v>
      </c>
      <c r="CL82" s="26">
        <f t="shared" si="62"/>
        <v>-0.14587326556708913</v>
      </c>
      <c r="CM82" s="26">
        <f t="shared" si="62"/>
        <v>-0.15643301205986948</v>
      </c>
      <c r="CN82" s="26">
        <f t="shared" si="62"/>
        <v>-6.5363129943701859E-2</v>
      </c>
      <c r="CO82" s="26"/>
    </row>
    <row r="83" spans="14:93" x14ac:dyDescent="0.2">
      <c r="N83" s="26">
        <f t="shared" si="60"/>
        <v>-0.19001770958728292</v>
      </c>
      <c r="O83" s="26">
        <f t="shared" si="60"/>
        <v>-0.21930053840311636</v>
      </c>
      <c r="P83" s="26">
        <f t="shared" si="60"/>
        <v>-3.8113774554266677E-2</v>
      </c>
      <c r="Q83" s="26">
        <f t="shared" si="60"/>
        <v>-0.56380305735698366</v>
      </c>
      <c r="R83" s="26">
        <f t="shared" si="60"/>
        <v>-0.48225815923515514</v>
      </c>
      <c r="S83" s="26">
        <f t="shared" si="60"/>
        <v>-0.22570604491116453</v>
      </c>
      <c r="T83" s="26">
        <f t="shared" si="60"/>
        <v>-0.24808355929637582</v>
      </c>
      <c r="U83" s="26">
        <f t="shared" si="60"/>
        <v>0.11307613396184268</v>
      </c>
      <c r="V83" s="26">
        <f t="shared" si="60"/>
        <v>-0.42650019005940709</v>
      </c>
      <c r="W83" s="26">
        <f t="shared" si="60"/>
        <v>0.19398238158520664</v>
      </c>
      <c r="X83" s="26">
        <f t="shared" si="60"/>
        <v>-4.0068835127689217E-2</v>
      </c>
      <c r="Y83" s="26">
        <f t="shared" si="60"/>
        <v>-0.25962369033643962</v>
      </c>
      <c r="Z83" s="26">
        <f t="shared" si="60"/>
        <v>9.165459018167077E-2</v>
      </c>
      <c r="AA83" s="26">
        <f t="shared" si="60"/>
        <v>0.19581304752646123</v>
      </c>
      <c r="AB83" s="26">
        <f t="shared" si="60"/>
        <v>0.13676564089548671</v>
      </c>
      <c r="AC83" s="26">
        <f t="shared" si="60"/>
        <v>1.3352723422152479</v>
      </c>
      <c r="AD83" s="26">
        <f t="shared" si="58"/>
        <v>0.57859282184879279</v>
      </c>
      <c r="AE83" s="26">
        <f t="shared" si="58"/>
        <v>0.23205769995787051</v>
      </c>
      <c r="AF83" s="26">
        <f t="shared" si="58"/>
        <v>0.22168736701422476</v>
      </c>
      <c r="AG83" s="26">
        <f t="shared" si="58"/>
        <v>0.51955365207308635</v>
      </c>
      <c r="AH83" s="26">
        <f t="shared" si="58"/>
        <v>0.67825935119951763</v>
      </c>
      <c r="AI83" s="26">
        <f t="shared" si="58"/>
        <v>7.4313248571087787E-2</v>
      </c>
      <c r="AJ83" s="26">
        <f t="shared" si="58"/>
        <v>0.3940032375870528</v>
      </c>
      <c r="AK83" s="26">
        <f t="shared" si="58"/>
        <v>0.40898149373318793</v>
      </c>
      <c r="AL83" s="26">
        <f t="shared" si="58"/>
        <v>0.19078767429566446</v>
      </c>
      <c r="AM83" s="26">
        <f t="shared" si="58"/>
        <v>1.0968339419994644E-2</v>
      </c>
      <c r="AN83" s="26">
        <f t="shared" si="58"/>
        <v>8.8110123756844461E-2</v>
      </c>
      <c r="AO83" s="26">
        <f t="shared" si="58"/>
        <v>0.16623599059272576</v>
      </c>
      <c r="AP83" s="26">
        <f t="shared" si="58"/>
        <v>3.0028655833057805E-2</v>
      </c>
      <c r="AQ83" s="26">
        <f t="shared" si="58"/>
        <v>0.17759197575850938</v>
      </c>
      <c r="AR83" s="26">
        <f t="shared" si="58"/>
        <v>0.12746606898239676</v>
      </c>
      <c r="AS83" s="26">
        <f t="shared" si="58"/>
        <v>-0.17543843607746146</v>
      </c>
      <c r="AT83" s="26">
        <f t="shared" si="61"/>
        <v>-0.20013962221448811</v>
      </c>
      <c r="AU83" s="26">
        <f t="shared" si="61"/>
        <v>-0.11748400760076616</v>
      </c>
      <c r="AV83" s="26">
        <f t="shared" si="61"/>
        <v>-1.9774502108969361E-2</v>
      </c>
      <c r="AW83" s="26">
        <f t="shared" si="61"/>
        <v>-6.2361023757773082E-2</v>
      </c>
      <c r="AX83" s="26">
        <f t="shared" si="61"/>
        <v>0.7780268967158932</v>
      </c>
      <c r="AY83" s="26">
        <f t="shared" si="61"/>
        <v>7.8014886797768801E-2</v>
      </c>
      <c r="AZ83" s="26">
        <f t="shared" si="61"/>
        <v>4.8662876803099886E-2</v>
      </c>
      <c r="BA83" s="26">
        <f t="shared" si="61"/>
        <v>6.4863361850030055E-2</v>
      </c>
      <c r="BB83" s="26">
        <f t="shared" si="61"/>
        <v>0.10030672820058184</v>
      </c>
      <c r="BC83" s="26">
        <f t="shared" si="61"/>
        <v>-8.2292897004752286E-2</v>
      </c>
      <c r="BD83" s="26">
        <f t="shared" si="61"/>
        <v>0.18029026482125388</v>
      </c>
      <c r="BE83" s="26">
        <f t="shared" si="61"/>
        <v>2.8531890482542233E-2</v>
      </c>
      <c r="BF83" s="26">
        <f t="shared" si="61"/>
        <v>0.28794321108201371</v>
      </c>
      <c r="BG83" s="26">
        <f t="shared" si="61"/>
        <v>1.4075529032407275E-2</v>
      </c>
      <c r="BH83" s="26">
        <f t="shared" si="61"/>
        <v>-3.0670504075636096E-3</v>
      </c>
      <c r="BI83" s="26">
        <f t="shared" si="61"/>
        <v>-4.5064885347169348E-2</v>
      </c>
      <c r="BJ83" s="26">
        <f t="shared" si="61"/>
        <v>-0.61932766737337985</v>
      </c>
      <c r="BK83" s="26">
        <f t="shared" si="61"/>
        <v>-0.26317531068795508</v>
      </c>
      <c r="BL83" s="26">
        <f t="shared" si="61"/>
        <v>-0.19929619456121817</v>
      </c>
      <c r="BM83" s="26">
        <f t="shared" si="61"/>
        <v>-0.34608514174208016</v>
      </c>
      <c r="BN83" s="26">
        <f t="shared" si="61"/>
        <v>-0.23959410856039065</v>
      </c>
      <c r="BO83" s="26">
        <f t="shared" si="61"/>
        <v>0.13112034880519796</v>
      </c>
      <c r="BP83" s="26">
        <f t="shared" si="61"/>
        <v>-4.5247812871763715E-3</v>
      </c>
      <c r="BQ83" s="26">
        <f t="shared" si="59"/>
        <v>-0.12973403553926166</v>
      </c>
      <c r="BR83" s="26">
        <f t="shared" si="59"/>
        <v>0.10513622785830168</v>
      </c>
      <c r="BS83" s="26">
        <f t="shared" si="59"/>
        <v>0.23015973462748862</v>
      </c>
      <c r="BT83" s="26">
        <f t="shared" si="59"/>
        <v>0.17285612864012201</v>
      </c>
      <c r="BU83" s="26">
        <f t="shared" si="59"/>
        <v>0.41336098269900345</v>
      </c>
      <c r="BV83" s="26">
        <f t="shared" si="59"/>
        <v>1.1017385693330248</v>
      </c>
      <c r="BW83" s="26">
        <f t="shared" si="59"/>
        <v>0.74892005990281985</v>
      </c>
      <c r="BX83" s="26">
        <f t="shared" si="59"/>
        <v>0.66312387133414497</v>
      </c>
      <c r="BY83" s="26">
        <f t="shared" si="59"/>
        <v>0.42858398491453076</v>
      </c>
      <c r="BZ83" s="26">
        <f t="shared" si="59"/>
        <v>0.8197246658244326</v>
      </c>
      <c r="CA83" s="26">
        <f t="shared" si="59"/>
        <v>0.18721214723775415</v>
      </c>
      <c r="CB83" s="26">
        <f t="shared" si="59"/>
        <v>8.4316789527000058E-2</v>
      </c>
      <c r="CC83" s="26">
        <f t="shared" si="59"/>
        <v>0.40653183482635313</v>
      </c>
      <c r="CD83" s="26">
        <f t="shared" si="59"/>
        <v>0.21713895101581548</v>
      </c>
      <c r="CE83" s="26">
        <f t="shared" si="59"/>
        <v>-0.11385965989417746</v>
      </c>
      <c r="CF83" s="26">
        <f t="shared" si="59"/>
        <v>0.27397523330994034</v>
      </c>
      <c r="CG83" s="26">
        <f t="shared" si="62"/>
        <v>-4.3153128764516935E-2</v>
      </c>
      <c r="CH83" s="26">
        <f t="shared" si="62"/>
        <v>-0.1204969149714864</v>
      </c>
      <c r="CI83" s="26">
        <f t="shared" si="62"/>
        <v>2.9689240105894354E-2</v>
      </c>
      <c r="CJ83" s="26">
        <f t="shared" si="62"/>
        <v>-0.23090315491417734</v>
      </c>
      <c r="CK83" s="26">
        <f t="shared" si="62"/>
        <v>3.2825131754391057E-2</v>
      </c>
      <c r="CL83" s="26">
        <f t="shared" si="62"/>
        <v>-0.11577439220077657</v>
      </c>
      <c r="CM83" s="26">
        <f t="shared" si="62"/>
        <v>-9.3800837152519967E-2</v>
      </c>
      <c r="CN83" s="26">
        <f t="shared" si="62"/>
        <v>-0.11315503961290752</v>
      </c>
      <c r="CO83" s="26"/>
    </row>
    <row r="84" spans="14:93" x14ac:dyDescent="0.2">
      <c r="N84" s="26">
        <f t="shared" si="60"/>
        <v>-0.18226958237696245</v>
      </c>
      <c r="O84" s="26">
        <f t="shared" si="60"/>
        <v>-0.14669622175707364</v>
      </c>
      <c r="P84" s="26">
        <f t="shared" si="60"/>
        <v>-0.38425761790636803</v>
      </c>
      <c r="Q84" s="26">
        <f t="shared" si="60"/>
        <v>-0.41089390767341505</v>
      </c>
      <c r="R84" s="26">
        <f t="shared" si="60"/>
        <v>-0.41940889353843569</v>
      </c>
      <c r="S84" s="26">
        <f t="shared" si="60"/>
        <v>-0.22942085677427937</v>
      </c>
      <c r="T84" s="26">
        <f t="shared" si="60"/>
        <v>-8.2167858965720542E-2</v>
      </c>
      <c r="U84" s="26">
        <f t="shared" si="60"/>
        <v>-4.5232905402214474E-2</v>
      </c>
      <c r="V84" s="26">
        <f t="shared" si="60"/>
        <v>-9.4595892697895478E-2</v>
      </c>
      <c r="W84" s="26">
        <f t="shared" si="60"/>
        <v>1.1032560610505726E-2</v>
      </c>
      <c r="X84" s="26">
        <f t="shared" si="60"/>
        <v>9.9626185374142029E-2</v>
      </c>
      <c r="Y84" s="26">
        <f t="shared" si="60"/>
        <v>2.704342868357501E-2</v>
      </c>
      <c r="Z84" s="26">
        <f t="shared" si="60"/>
        <v>5.4042406452686098E-2</v>
      </c>
      <c r="AA84" s="26">
        <f t="shared" si="60"/>
        <v>0.10267100736543089</v>
      </c>
      <c r="AB84" s="26">
        <f t="shared" si="60"/>
        <v>0.38731945258448564</v>
      </c>
      <c r="AC84" s="26">
        <f t="shared" si="60"/>
        <v>0.81060639646748278</v>
      </c>
      <c r="AD84" s="26">
        <f t="shared" si="58"/>
        <v>0.8532311236935548</v>
      </c>
      <c r="AE84" s="26">
        <f t="shared" si="58"/>
        <v>0.25629840575409424</v>
      </c>
      <c r="AF84" s="26">
        <f t="shared" si="58"/>
        <v>5.6708548991096119E-2</v>
      </c>
      <c r="AG84" s="26">
        <f t="shared" si="58"/>
        <v>2.9893961220778476E-2</v>
      </c>
      <c r="AH84" s="26">
        <f t="shared" si="58"/>
        <v>0.11566640527598526</v>
      </c>
      <c r="AI84" s="26">
        <f t="shared" si="58"/>
        <v>6.4185050841174318E-2</v>
      </c>
      <c r="AJ84" s="26">
        <f t="shared" si="58"/>
        <v>-1.1976787393772947E-2</v>
      </c>
      <c r="AK84" s="26">
        <f t="shared" si="58"/>
        <v>-4.2851936066778951E-4</v>
      </c>
      <c r="AL84" s="26">
        <f t="shared" si="58"/>
        <v>1.7217092889550534E-2</v>
      </c>
      <c r="AM84" s="26">
        <f t="shared" si="58"/>
        <v>-2.8525747197977513E-2</v>
      </c>
      <c r="AN84" s="26">
        <f t="shared" si="58"/>
        <v>-7.239425705964897E-2</v>
      </c>
      <c r="AO84" s="26">
        <f t="shared" si="58"/>
        <v>-7.881909732430048E-2</v>
      </c>
      <c r="AP84" s="26">
        <f t="shared" si="58"/>
        <v>-4.4446694025238709E-2</v>
      </c>
      <c r="AQ84" s="26">
        <f t="shared" si="58"/>
        <v>0.12735028475020393</v>
      </c>
      <c r="AR84" s="26">
        <f t="shared" si="58"/>
        <v>0.12260925486012364</v>
      </c>
      <c r="AS84" s="26">
        <f t="shared" si="58"/>
        <v>4.8526011048229067E-2</v>
      </c>
      <c r="AT84" s="26">
        <f t="shared" si="61"/>
        <v>-9.4473328018384262E-2</v>
      </c>
      <c r="AU84" s="26">
        <f t="shared" si="61"/>
        <v>-4.2614092892946265E-2</v>
      </c>
      <c r="AV84" s="26">
        <f t="shared" si="61"/>
        <v>-5.8197153333583329E-2</v>
      </c>
      <c r="AW84" s="26">
        <f t="shared" si="61"/>
        <v>-7.7113862046603643E-2</v>
      </c>
      <c r="AX84" s="26">
        <f t="shared" si="61"/>
        <v>-6.0461886889520033E-2</v>
      </c>
      <c r="AY84" s="26">
        <f t="shared" si="61"/>
        <v>-1.6206074988040831E-2</v>
      </c>
      <c r="AZ84" s="26">
        <f t="shared" si="61"/>
        <v>-3.1185076537021295E-2</v>
      </c>
      <c r="BA84" s="26">
        <f t="shared" si="61"/>
        <v>-4.7035179945076333E-3</v>
      </c>
      <c r="BB84" s="26">
        <f t="shared" si="61"/>
        <v>-1.4749242009863162E-2</v>
      </c>
      <c r="BC84" s="26">
        <f t="shared" si="61"/>
        <v>-5.8892970167329306E-2</v>
      </c>
      <c r="BD84" s="26">
        <f t="shared" si="61"/>
        <v>-5.1083513051709217E-2</v>
      </c>
      <c r="BE84" s="26">
        <f t="shared" si="61"/>
        <v>-7.7690776393542382E-2</v>
      </c>
      <c r="BF84" s="26">
        <f t="shared" si="61"/>
        <v>-3.6309270356730261E-2</v>
      </c>
      <c r="BG84" s="26">
        <f t="shared" si="61"/>
        <v>-0.1414681997472711</v>
      </c>
      <c r="BH84" s="26">
        <f t="shared" si="61"/>
        <v>-9.1631118459793326E-2</v>
      </c>
      <c r="BI84" s="26">
        <f t="shared" si="61"/>
        <v>-0.20150055555329383</v>
      </c>
      <c r="BJ84" s="26">
        <f t="shared" si="61"/>
        <v>-0.20711526024121618</v>
      </c>
      <c r="BK84" s="26">
        <f t="shared" si="61"/>
        <v>-0.1392097038451513</v>
      </c>
      <c r="BL84" s="26">
        <f t="shared" si="61"/>
        <v>-7.5828120567305368E-2</v>
      </c>
      <c r="BM84" s="26">
        <f t="shared" si="61"/>
        <v>-0.11423852974984694</v>
      </c>
      <c r="BN84" s="26">
        <f t="shared" si="61"/>
        <v>8.1539782092703295E-3</v>
      </c>
      <c r="BO84" s="26">
        <f t="shared" si="61"/>
        <v>0.2094642375755329</v>
      </c>
      <c r="BP84" s="26">
        <f t="shared" si="61"/>
        <v>0.12486770493091992</v>
      </c>
      <c r="BQ84" s="26">
        <f t="shared" si="59"/>
        <v>0.27000733344338568</v>
      </c>
      <c r="BR84" s="26">
        <f t="shared" si="59"/>
        <v>0.43627363892743132</v>
      </c>
      <c r="BS84" s="26">
        <f t="shared" si="59"/>
        <v>0.37832429105002752</v>
      </c>
      <c r="BT84" s="26">
        <f t="shared" si="59"/>
        <v>0.57921249992804835</v>
      </c>
      <c r="BU84" s="26">
        <f t="shared" si="59"/>
        <v>0.83193232071802825</v>
      </c>
      <c r="BV84" s="26">
        <f t="shared" si="59"/>
        <v>0.89837560778333803</v>
      </c>
      <c r="BW84" s="26">
        <f t="shared" si="59"/>
        <v>1.1047123161980852</v>
      </c>
      <c r="BX84" s="26">
        <f t="shared" si="59"/>
        <v>0.92820447265343931</v>
      </c>
      <c r="BY84" s="26">
        <f t="shared" si="59"/>
        <v>0.90851121472447849</v>
      </c>
      <c r="BZ84" s="26">
        <f t="shared" si="59"/>
        <v>0.87914623768459732</v>
      </c>
      <c r="CA84" s="26">
        <f t="shared" si="59"/>
        <v>0.51114078084302395</v>
      </c>
      <c r="CB84" s="26">
        <f t="shared" si="59"/>
        <v>0.46051590126180564</v>
      </c>
      <c r="CC84" s="26">
        <f t="shared" si="59"/>
        <v>0.59247346723732197</v>
      </c>
      <c r="CD84" s="26">
        <f t="shared" si="59"/>
        <v>0.31178932780349111</v>
      </c>
      <c r="CE84" s="26">
        <f t="shared" si="59"/>
        <v>0.30500180419555112</v>
      </c>
      <c r="CF84" s="26">
        <f t="shared" si="59"/>
        <v>0.21064240345093777</v>
      </c>
      <c r="CG84" s="26">
        <f t="shared" si="62"/>
        <v>8.3719464549820266E-2</v>
      </c>
      <c r="CH84" s="26">
        <f t="shared" si="62"/>
        <v>0.21206323782877412</v>
      </c>
      <c r="CI84" s="26">
        <f t="shared" si="62"/>
        <v>-4.1615094067057545E-2</v>
      </c>
      <c r="CJ84" s="26">
        <f t="shared" si="62"/>
        <v>-3.9803437832620414E-2</v>
      </c>
      <c r="CK84" s="26">
        <f t="shared" si="62"/>
        <v>-0.11955118649922436</v>
      </c>
      <c r="CL84" s="26">
        <f t="shared" si="62"/>
        <v>-0.17059679140977368</v>
      </c>
      <c r="CM84" s="26">
        <f t="shared" si="62"/>
        <v>-0.12715316829101253</v>
      </c>
      <c r="CN84" s="26">
        <f t="shared" si="62"/>
        <v>-0.12407567787719043</v>
      </c>
      <c r="CO84" s="26"/>
    </row>
    <row r="85" spans="14:93" x14ac:dyDescent="0.2">
      <c r="N85" s="26">
        <f t="shared" si="60"/>
        <v>-0.13876171683525873</v>
      </c>
      <c r="O85" s="26">
        <f t="shared" si="60"/>
        <v>-0.16246776152929054</v>
      </c>
      <c r="P85" s="26">
        <f t="shared" si="60"/>
        <v>-0.20247714316048271</v>
      </c>
      <c r="Q85" s="26">
        <f t="shared" si="60"/>
        <v>-0.43669564567227148</v>
      </c>
      <c r="R85" s="26">
        <f t="shared" si="60"/>
        <v>-0.49175942633490477</v>
      </c>
      <c r="S85" s="26">
        <f t="shared" si="60"/>
        <v>-0.32368051882482096</v>
      </c>
      <c r="T85" s="26">
        <f t="shared" si="60"/>
        <v>-0.18154764464868089</v>
      </c>
      <c r="U85" s="26">
        <f t="shared" si="60"/>
        <v>-0.15438244881751273</v>
      </c>
      <c r="V85" s="26">
        <f t="shared" si="60"/>
        <v>-0.11436729326388062</v>
      </c>
      <c r="W85" s="26">
        <f t="shared" si="60"/>
        <v>-1.4115502594752916E-2</v>
      </c>
      <c r="X85" s="26">
        <f t="shared" si="60"/>
        <v>2.2072869999911093E-2</v>
      </c>
      <c r="Y85" s="26">
        <f t="shared" si="60"/>
        <v>7.3800444496518125E-2</v>
      </c>
      <c r="Z85" s="26">
        <f t="shared" si="60"/>
        <v>1.2594557721879118E-2</v>
      </c>
      <c r="AA85" s="26">
        <f t="shared" si="60"/>
        <v>0.18928338012475332</v>
      </c>
      <c r="AB85" s="26">
        <f t="shared" si="60"/>
        <v>0.36283114128442939</v>
      </c>
      <c r="AC85" s="26">
        <f t="shared" si="60"/>
        <v>1.142140762771318</v>
      </c>
      <c r="AD85" s="26">
        <f t="shared" si="58"/>
        <v>1.0758631978701025</v>
      </c>
      <c r="AE85" s="26">
        <f t="shared" si="58"/>
        <v>0.414827929400303</v>
      </c>
      <c r="AF85" s="26">
        <f t="shared" si="58"/>
        <v>0.39719269769042742</v>
      </c>
      <c r="AG85" s="26">
        <f t="shared" si="58"/>
        <v>0.32457950946398917</v>
      </c>
      <c r="AH85" s="26">
        <f t="shared" si="58"/>
        <v>0.26964347444192693</v>
      </c>
      <c r="AI85" s="26">
        <f t="shared" si="58"/>
        <v>0.18232984762716642</v>
      </c>
      <c r="AJ85" s="26">
        <f t="shared" si="58"/>
        <v>0.12583407660784429</v>
      </c>
      <c r="AK85" s="26">
        <f t="shared" si="58"/>
        <v>0.18144771072794597</v>
      </c>
      <c r="AL85" s="26">
        <f t="shared" si="58"/>
        <v>0.17487747769483986</v>
      </c>
      <c r="AM85" s="26">
        <f t="shared" si="58"/>
        <v>1.3408333741163236E-2</v>
      </c>
      <c r="AN85" s="26">
        <f t="shared" si="58"/>
        <v>-2.3042575905020013E-2</v>
      </c>
      <c r="AO85" s="26">
        <f t="shared" si="58"/>
        <v>1.3972327729657064E-2</v>
      </c>
      <c r="AP85" s="26">
        <f t="shared" si="58"/>
        <v>5.9450958469163151E-2</v>
      </c>
      <c r="AQ85" s="26">
        <f t="shared" si="58"/>
        <v>0.12581490719485577</v>
      </c>
      <c r="AR85" s="26">
        <f t="shared" si="58"/>
        <v>4.4787416480810416E-2</v>
      </c>
      <c r="AS85" s="26">
        <f t="shared" si="58"/>
        <v>-2.7494231256686152E-4</v>
      </c>
      <c r="AT85" s="26">
        <f t="shared" si="61"/>
        <v>-1.066495364098341E-2</v>
      </c>
      <c r="AU85" s="26">
        <f t="shared" si="61"/>
        <v>-4.6691393840312956E-2</v>
      </c>
      <c r="AV85" s="26">
        <f t="shared" si="61"/>
        <v>-0.10411258567263748</v>
      </c>
      <c r="AW85" s="26">
        <f t="shared" si="61"/>
        <v>-0.14170715948712609</v>
      </c>
      <c r="AX85" s="26">
        <f t="shared" si="61"/>
        <v>-7.2271605043987552E-3</v>
      </c>
      <c r="AY85" s="26">
        <f t="shared" si="61"/>
        <v>-1.7901784746781724E-2</v>
      </c>
      <c r="AZ85" s="26">
        <f t="shared" si="61"/>
        <v>-7.5776472223782587E-2</v>
      </c>
      <c r="BA85" s="26">
        <f t="shared" si="61"/>
        <v>-0.15136458201153002</v>
      </c>
      <c r="BB85" s="26">
        <f t="shared" si="61"/>
        <v>-0.19337317238223828</v>
      </c>
      <c r="BC85" s="26">
        <f t="shared" si="61"/>
        <v>-0.14907909320291879</v>
      </c>
      <c r="BD85" s="26">
        <f t="shared" si="61"/>
        <v>-0.1305450079629239</v>
      </c>
      <c r="BE85" s="26">
        <f t="shared" si="61"/>
        <v>-0.16483593166458343</v>
      </c>
      <c r="BF85" s="26">
        <f t="shared" si="61"/>
        <v>-0.15727221954527615</v>
      </c>
      <c r="BG85" s="26">
        <f t="shared" si="61"/>
        <v>-0.1461830662568091</v>
      </c>
      <c r="BH85" s="26">
        <f t="shared" si="61"/>
        <v>-0.10925972383519778</v>
      </c>
      <c r="BI85" s="26">
        <f t="shared" si="61"/>
        <v>-0.23079068135861891</v>
      </c>
      <c r="BJ85" s="26">
        <f t="shared" si="61"/>
        <v>-0.36898465167791816</v>
      </c>
      <c r="BK85" s="26">
        <f t="shared" si="61"/>
        <v>-0.33273282426585715</v>
      </c>
      <c r="BL85" s="26">
        <f t="shared" si="61"/>
        <v>-0.20466449077572835</v>
      </c>
      <c r="BM85" s="26">
        <f t="shared" si="61"/>
        <v>-0.25928542533294774</v>
      </c>
      <c r="BN85" s="26">
        <f t="shared" si="61"/>
        <v>-7.2739920075288067E-2</v>
      </c>
      <c r="BO85" s="26">
        <f t="shared" si="61"/>
        <v>1.0072053018095328E-3</v>
      </c>
      <c r="BP85" s="26">
        <f t="shared" si="61"/>
        <v>-6.2692711146428381E-2</v>
      </c>
      <c r="BQ85" s="26">
        <f t="shared" si="59"/>
        <v>7.7375843481937157E-2</v>
      </c>
      <c r="BR85" s="26">
        <f t="shared" si="59"/>
        <v>0.13985304443169544</v>
      </c>
      <c r="BS85" s="26">
        <f t="shared" si="59"/>
        <v>0.16248749444749833</v>
      </c>
      <c r="BT85" s="26">
        <f t="shared" si="59"/>
        <v>0.24077702172647464</v>
      </c>
      <c r="BU85" s="26">
        <f t="shared" si="59"/>
        <v>0.40290213705030475</v>
      </c>
      <c r="BV85" s="26">
        <f t="shared" si="59"/>
        <v>0.69160918919539083</v>
      </c>
      <c r="BW85" s="26">
        <f t="shared" si="59"/>
        <v>0.62054176056530275</v>
      </c>
      <c r="BX85" s="26">
        <f t="shared" si="59"/>
        <v>0.4733010945397591</v>
      </c>
      <c r="BY85" s="26">
        <f t="shared" si="59"/>
        <v>0.59216540594624756</v>
      </c>
      <c r="BZ85" s="26">
        <f t="shared" si="59"/>
        <v>0.44122132609394749</v>
      </c>
      <c r="CA85" s="26">
        <f t="shared" si="59"/>
        <v>0.28171934044181346</v>
      </c>
      <c r="CB85" s="26">
        <f t="shared" si="59"/>
        <v>0.35528119420361204</v>
      </c>
      <c r="CC85" s="26">
        <f t="shared" si="59"/>
        <v>0.23519770231593684</v>
      </c>
      <c r="CD85" s="26">
        <f t="shared" si="59"/>
        <v>0.23017284834785712</v>
      </c>
      <c r="CE85" s="26">
        <f t="shared" si="59"/>
        <v>0.16991405205571186</v>
      </c>
      <c r="CF85" s="26">
        <f t="shared" si="59"/>
        <v>7.7281556209499502E-2</v>
      </c>
      <c r="CG85" s="26">
        <f t="shared" si="62"/>
        <v>3.9896340057070212E-2</v>
      </c>
      <c r="CH85" s="26">
        <f t="shared" si="62"/>
        <v>5.7357117944872638E-2</v>
      </c>
      <c r="CI85" s="26">
        <f t="shared" si="62"/>
        <v>-2.0117927770644917E-2</v>
      </c>
      <c r="CJ85" s="26">
        <f t="shared" si="62"/>
        <v>1.7945435947952504E-4</v>
      </c>
      <c r="CK85" s="26">
        <f t="shared" si="62"/>
        <v>-6.9144008683921454E-2</v>
      </c>
      <c r="CL85" s="26">
        <f t="shared" si="62"/>
        <v>-0.10490418414926916</v>
      </c>
      <c r="CM85" s="26">
        <f t="shared" si="62"/>
        <v>-0.14264044853809532</v>
      </c>
      <c r="CN85" s="26">
        <f t="shared" si="62"/>
        <v>-0.20823566761105528</v>
      </c>
      <c r="CO85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31"/>
  <sheetViews>
    <sheetView zoomScaleNormal="100" zoomScaleSheetLayoutView="110" workbookViewId="0">
      <pane xSplit="1" ySplit="1" topLeftCell="BX5" activePane="bottomRight" state="frozen"/>
      <selection pane="topRight" activeCell="B1" sqref="B1"/>
      <selection pane="bottomLeft" activeCell="A2" sqref="A2"/>
      <selection pane="bottomRight" activeCell="CM22" sqref="CM22"/>
    </sheetView>
  </sheetViews>
  <sheetFormatPr baseColWidth="10" defaultColWidth="11.5703125" defaultRowHeight="11.25" x14ac:dyDescent="0.25"/>
  <cols>
    <col min="1" max="1" width="15" style="20" bestFit="1" customWidth="1"/>
    <col min="2" max="11" width="7" style="8" bestFit="1" customWidth="1"/>
    <col min="12" max="12" width="7.85546875" style="8" bestFit="1" customWidth="1"/>
    <col min="13" max="13" width="7" style="8" bestFit="1" customWidth="1"/>
    <col min="14" max="16" width="7.85546875" style="8" bestFit="1" customWidth="1"/>
    <col min="17" max="18" width="7" style="8" bestFit="1" customWidth="1"/>
    <col min="19" max="58" width="7.85546875" style="8" bestFit="1" customWidth="1"/>
    <col min="59" max="93" width="9.140625" style="8" bestFit="1" customWidth="1"/>
    <col min="94" max="16384" width="11.5703125" style="8"/>
  </cols>
  <sheetData>
    <row r="1" spans="1:93" x14ac:dyDescent="0.25">
      <c r="A1" s="4" t="s">
        <v>59</v>
      </c>
      <c r="B1" s="5">
        <v>43466</v>
      </c>
      <c r="C1" s="6">
        <v>43497</v>
      </c>
      <c r="D1" s="6">
        <v>43525</v>
      </c>
      <c r="E1" s="6">
        <v>43556</v>
      </c>
      <c r="F1" s="6">
        <v>43586</v>
      </c>
      <c r="G1" s="6">
        <v>43617</v>
      </c>
      <c r="H1" s="6">
        <v>43647</v>
      </c>
      <c r="I1" s="6">
        <v>43678</v>
      </c>
      <c r="J1" s="6">
        <v>43709</v>
      </c>
      <c r="K1" s="6">
        <v>43739</v>
      </c>
      <c r="L1" s="6">
        <v>43770</v>
      </c>
      <c r="M1" s="7">
        <v>43800</v>
      </c>
      <c r="N1" s="5">
        <v>43831</v>
      </c>
      <c r="O1" s="6">
        <v>43862</v>
      </c>
      <c r="P1" s="6">
        <v>43891</v>
      </c>
      <c r="Q1" s="6">
        <v>43922</v>
      </c>
      <c r="R1" s="6">
        <v>43952</v>
      </c>
      <c r="S1" s="6">
        <v>43983</v>
      </c>
      <c r="T1" s="6">
        <v>44013</v>
      </c>
      <c r="U1" s="6">
        <v>44044</v>
      </c>
      <c r="V1" s="6">
        <v>44075</v>
      </c>
      <c r="W1" s="6">
        <v>44105</v>
      </c>
      <c r="X1" s="6">
        <v>44136</v>
      </c>
      <c r="Y1" s="7">
        <v>44166</v>
      </c>
      <c r="Z1" s="5">
        <v>44197</v>
      </c>
      <c r="AA1" s="6">
        <v>44228</v>
      </c>
      <c r="AB1" s="6">
        <v>44256</v>
      </c>
      <c r="AC1" s="6">
        <v>44287</v>
      </c>
      <c r="AD1" s="6">
        <v>44317</v>
      </c>
      <c r="AE1" s="6">
        <v>44348</v>
      </c>
      <c r="AF1" s="6">
        <v>44378</v>
      </c>
      <c r="AG1" s="6">
        <v>44409</v>
      </c>
      <c r="AH1" s="6">
        <v>44440</v>
      </c>
      <c r="AI1" s="6">
        <v>44470</v>
      </c>
      <c r="AJ1" s="6">
        <v>44501</v>
      </c>
      <c r="AK1" s="7">
        <v>44531</v>
      </c>
      <c r="AL1" s="5">
        <v>44562</v>
      </c>
      <c r="AM1" s="6">
        <v>44593</v>
      </c>
      <c r="AN1" s="6">
        <v>44621</v>
      </c>
      <c r="AO1" s="6">
        <v>44652</v>
      </c>
      <c r="AP1" s="6">
        <v>44682</v>
      </c>
      <c r="AQ1" s="6">
        <v>44713</v>
      </c>
      <c r="AR1" s="6">
        <v>44743</v>
      </c>
      <c r="AS1" s="6">
        <v>44774</v>
      </c>
      <c r="AT1" s="6">
        <v>44805</v>
      </c>
      <c r="AU1" s="6">
        <v>44835</v>
      </c>
      <c r="AV1" s="6">
        <v>44866</v>
      </c>
      <c r="AW1" s="7">
        <v>44896</v>
      </c>
      <c r="AX1" s="5">
        <v>44927</v>
      </c>
      <c r="AY1" s="6">
        <v>44958</v>
      </c>
      <c r="AZ1" s="6">
        <v>44986</v>
      </c>
      <c r="BA1" s="6">
        <v>45017</v>
      </c>
      <c r="BB1" s="6">
        <v>45047</v>
      </c>
      <c r="BC1" s="6">
        <v>45078</v>
      </c>
      <c r="BD1" s="6">
        <v>45108</v>
      </c>
      <c r="BE1" s="6">
        <v>45139</v>
      </c>
      <c r="BF1" s="6">
        <v>45170</v>
      </c>
      <c r="BG1" s="6">
        <v>45200</v>
      </c>
      <c r="BH1" s="6">
        <v>45231</v>
      </c>
      <c r="BI1" s="7">
        <v>45261</v>
      </c>
      <c r="BJ1" s="5">
        <v>45292</v>
      </c>
      <c r="BK1" s="6">
        <v>45323</v>
      </c>
      <c r="BL1" s="6">
        <v>45352</v>
      </c>
      <c r="BM1" s="6">
        <v>45383</v>
      </c>
      <c r="BN1" s="6">
        <v>45413</v>
      </c>
      <c r="BO1" s="6">
        <v>45444</v>
      </c>
      <c r="BP1" s="6">
        <v>45474</v>
      </c>
      <c r="BQ1" s="6">
        <v>45505</v>
      </c>
      <c r="BR1" s="6">
        <v>45536</v>
      </c>
      <c r="BS1" s="6">
        <v>45566</v>
      </c>
      <c r="BT1" s="6">
        <v>45597</v>
      </c>
      <c r="BU1" s="7">
        <v>45627</v>
      </c>
      <c r="BV1" s="5">
        <v>45658</v>
      </c>
      <c r="BW1" s="6">
        <v>45689</v>
      </c>
      <c r="BX1" s="6">
        <v>45717</v>
      </c>
      <c r="BY1" s="6">
        <v>45748</v>
      </c>
      <c r="BZ1" s="6">
        <v>45778</v>
      </c>
      <c r="CA1" s="6">
        <v>45809</v>
      </c>
      <c r="CB1" s="6">
        <v>45839</v>
      </c>
      <c r="CC1" s="6">
        <v>45870</v>
      </c>
      <c r="CD1" s="6">
        <v>45901</v>
      </c>
      <c r="CE1" s="6">
        <v>45931</v>
      </c>
      <c r="CF1" s="6">
        <v>45962</v>
      </c>
      <c r="CG1" s="7">
        <v>45992</v>
      </c>
      <c r="CH1" s="5">
        <v>46023</v>
      </c>
      <c r="CI1" s="6">
        <v>46054</v>
      </c>
      <c r="CJ1" s="6">
        <v>46082</v>
      </c>
      <c r="CK1" s="6">
        <v>46113</v>
      </c>
      <c r="CL1" s="6">
        <v>46143</v>
      </c>
      <c r="CM1" s="6">
        <v>46174</v>
      </c>
      <c r="CN1" s="6">
        <v>46204</v>
      </c>
      <c r="CO1" s="6">
        <v>46235</v>
      </c>
    </row>
    <row r="2" spans="1:93" s="12" customFormat="1" x14ac:dyDescent="0.2">
      <c r="A2" s="9" t="s">
        <v>4</v>
      </c>
      <c r="B2" s="10">
        <v>1086.6911589599999</v>
      </c>
      <c r="C2" s="10">
        <v>1117.7619399300002</v>
      </c>
      <c r="D2" s="10">
        <v>1106.84692101</v>
      </c>
      <c r="E2" s="10">
        <v>1198.9749999999999</v>
      </c>
      <c r="F2" s="10">
        <v>1259.3050000000001</v>
      </c>
      <c r="G2" s="10">
        <v>1158.328</v>
      </c>
      <c r="H2" s="10">
        <v>1258.3720000000001</v>
      </c>
      <c r="I2" s="10">
        <v>1105.0740000000001</v>
      </c>
      <c r="J2" s="10">
        <v>1117.0309999999999</v>
      </c>
      <c r="K2" s="10">
        <v>1187.598</v>
      </c>
      <c r="L2" s="10">
        <v>1192.94</v>
      </c>
      <c r="M2" s="11">
        <v>1266.7208915400006</v>
      </c>
      <c r="N2" s="10">
        <v>1234.8808932200036</v>
      </c>
      <c r="O2" s="10">
        <v>1104.9145382499896</v>
      </c>
      <c r="P2" s="10">
        <v>1116.8163521700008</v>
      </c>
      <c r="Q2" s="10">
        <v>483.20699999999999</v>
      </c>
      <c r="R2" s="10">
        <v>509.012</v>
      </c>
      <c r="S2" s="10">
        <v>696.14700000000005</v>
      </c>
      <c r="T2" s="10">
        <v>578.93200000000002</v>
      </c>
      <c r="U2" s="10">
        <v>656.92499999999995</v>
      </c>
      <c r="V2" s="10">
        <v>713.71799999999996</v>
      </c>
      <c r="W2" s="10">
        <v>890.49699999999996</v>
      </c>
      <c r="X2" s="10">
        <v>1425.133</v>
      </c>
      <c r="Y2" s="11">
        <v>1666.0809999999999</v>
      </c>
      <c r="Z2" s="10">
        <v>1692.5321556899928</v>
      </c>
      <c r="AA2" s="10">
        <v>1855.2900983600027</v>
      </c>
      <c r="AB2" s="10">
        <v>1833.1556753600021</v>
      </c>
      <c r="AC2" s="10">
        <v>1533.019</v>
      </c>
      <c r="AD2" s="10">
        <v>1611.403</v>
      </c>
      <c r="AE2" s="10">
        <v>1991.347</v>
      </c>
      <c r="AF2" s="10">
        <v>2065.9839999999999</v>
      </c>
      <c r="AG2" s="10">
        <v>2275.8659864199963</v>
      </c>
      <c r="AH2" s="10">
        <v>2045.934</v>
      </c>
      <c r="AI2" s="10">
        <v>2115.6640000000002</v>
      </c>
      <c r="AJ2" s="10">
        <v>2195.0100000000002</v>
      </c>
      <c r="AK2" s="11">
        <v>2712.01</v>
      </c>
      <c r="AL2" s="10">
        <v>2120.774113790003</v>
      </c>
      <c r="AM2" s="10">
        <v>2384.1498421800079</v>
      </c>
      <c r="AN2" s="10">
        <v>2596.2138693899933</v>
      </c>
      <c r="AO2" s="10">
        <v>2876.2657856500009</v>
      </c>
      <c r="AP2" s="10">
        <v>3425.3589134299996</v>
      </c>
      <c r="AQ2" s="10">
        <v>4109.4027529400028</v>
      </c>
      <c r="AR2" s="10">
        <v>4249.6418747199996</v>
      </c>
      <c r="AS2" s="10">
        <v>4822.4190058900022</v>
      </c>
      <c r="AT2" s="10">
        <v>4647.141959110003</v>
      </c>
      <c r="AU2" s="10">
        <v>4988.5083033378223</v>
      </c>
      <c r="AV2" s="10">
        <v>5221.5642498406824</v>
      </c>
      <c r="AW2" s="11">
        <v>5078.0049922861535</v>
      </c>
      <c r="AX2" s="10">
        <v>4752.1392777990568</v>
      </c>
      <c r="AY2" s="10">
        <v>5201.4886082096509</v>
      </c>
      <c r="AZ2" s="10">
        <v>5625.3270251855765</v>
      </c>
      <c r="BA2" s="10">
        <v>5476.442154468773</v>
      </c>
      <c r="BB2" s="10">
        <v>5766.3020919072624</v>
      </c>
      <c r="BC2" s="10">
        <v>6661.7619123893728</v>
      </c>
      <c r="BD2" s="10">
        <v>6756.7655802552244</v>
      </c>
      <c r="BE2" s="10">
        <v>7158.3042495504978</v>
      </c>
      <c r="BF2" s="10">
        <v>6657.0467658893276</v>
      </c>
      <c r="BG2" s="10">
        <v>7063.5815981460582</v>
      </c>
      <c r="BH2" s="10">
        <v>6965.8586209045834</v>
      </c>
      <c r="BI2" s="11">
        <v>7736.0448960144467</v>
      </c>
      <c r="BJ2" s="10">
        <v>8028.2773488472776</v>
      </c>
      <c r="BK2" s="10">
        <v>9916.258446721471</v>
      </c>
      <c r="BL2" s="10">
        <v>10685.083491786789</v>
      </c>
      <c r="BM2" s="10">
        <v>14926.513826229759</v>
      </c>
      <c r="BN2" s="10">
        <v>15407.040584266311</v>
      </c>
      <c r="BO2" s="10">
        <v>17135.153127314661</v>
      </c>
      <c r="BP2" s="10">
        <v>16381.703959215674</v>
      </c>
      <c r="BQ2" s="10">
        <v>19423.39194148609</v>
      </c>
      <c r="BR2" s="10">
        <v>19839.736756259652</v>
      </c>
      <c r="BS2" s="10">
        <v>24286.641368140867</v>
      </c>
      <c r="BT2" s="10">
        <v>25827.478713160341</v>
      </c>
      <c r="BU2" s="11">
        <v>30955.819987041061</v>
      </c>
      <c r="BV2" s="10">
        <v>21791.122093218899</v>
      </c>
      <c r="BW2" s="10">
        <v>23651.334347069598</v>
      </c>
      <c r="BX2" s="10">
        <v>26736.246904334446</v>
      </c>
      <c r="BY2" s="10">
        <v>29587.481193698113</v>
      </c>
      <c r="BZ2" s="10">
        <v>29575.538761402902</v>
      </c>
      <c r="CA2" s="10">
        <v>28243.139698208113</v>
      </c>
      <c r="CB2" s="10">
        <v>32052.831675214838</v>
      </c>
      <c r="CC2" s="10">
        <v>31718.370985134807</v>
      </c>
      <c r="CD2" s="10">
        <v>31309.701551009486</v>
      </c>
      <c r="CE2" s="10">
        <v>31537.549456238805</v>
      </c>
      <c r="CF2" s="10">
        <v>32177.725916221774</v>
      </c>
      <c r="CG2" s="11">
        <v>33187.899523562322</v>
      </c>
      <c r="CH2" s="10">
        <v>31266.521861254383</v>
      </c>
      <c r="CI2" s="10">
        <v>36016.228239241122</v>
      </c>
      <c r="CJ2" s="10">
        <v>39482.381236046262</v>
      </c>
      <c r="CK2" s="10">
        <v>39679.532382512924</v>
      </c>
      <c r="CL2" s="10">
        <v>46836.260840801297</v>
      </c>
      <c r="CM2" s="10">
        <v>53690.278917646552</v>
      </c>
      <c r="CN2" s="10">
        <v>50963.895533568189</v>
      </c>
      <c r="CO2" s="10"/>
    </row>
    <row r="3" spans="1:93" s="12" customFormat="1" x14ac:dyDescent="0.2">
      <c r="A3" s="9" t="s">
        <v>2</v>
      </c>
      <c r="B3" s="10">
        <v>519.5</v>
      </c>
      <c r="C3" s="10">
        <v>413.3</v>
      </c>
      <c r="D3" s="10">
        <v>469</v>
      </c>
      <c r="E3" s="10">
        <v>427</v>
      </c>
      <c r="F3" s="10">
        <v>491.5</v>
      </c>
      <c r="G3" s="10">
        <v>501.5</v>
      </c>
      <c r="H3" s="10">
        <v>450.5</v>
      </c>
      <c r="I3" s="10">
        <v>434.00000000000006</v>
      </c>
      <c r="J3" s="10">
        <v>740.3</v>
      </c>
      <c r="K3" s="10">
        <v>461.1</v>
      </c>
      <c r="L3" s="10">
        <v>581.6</v>
      </c>
      <c r="M3" s="11">
        <v>632.1</v>
      </c>
      <c r="N3" s="10">
        <v>1242.1000000000001</v>
      </c>
      <c r="O3" s="10">
        <v>532.20000000000005</v>
      </c>
      <c r="P3" s="10">
        <v>573.20000000000005</v>
      </c>
      <c r="Q3" s="10">
        <v>370.59999999999997</v>
      </c>
      <c r="R3" s="10">
        <v>356.30000000000007</v>
      </c>
      <c r="S3" s="10">
        <v>433.2</v>
      </c>
      <c r="T3" s="10">
        <v>318.09999999999997</v>
      </c>
      <c r="U3" s="10">
        <v>328.70000000000005</v>
      </c>
      <c r="V3" s="10">
        <v>398.1</v>
      </c>
      <c r="W3" s="10">
        <v>319.3</v>
      </c>
      <c r="X3" s="10">
        <v>383.20000000000005</v>
      </c>
      <c r="Y3" s="11">
        <v>506.7</v>
      </c>
      <c r="Z3" s="10">
        <v>426.9</v>
      </c>
      <c r="AA3" s="10">
        <v>428.5</v>
      </c>
      <c r="AB3" s="10">
        <v>829.2</v>
      </c>
      <c r="AC3" s="10">
        <v>930.4</v>
      </c>
      <c r="AD3" s="10">
        <v>764.1</v>
      </c>
      <c r="AE3" s="10">
        <v>972.7</v>
      </c>
      <c r="AF3" s="10">
        <v>866.00000000000011</v>
      </c>
      <c r="AG3" s="10">
        <v>1010.5</v>
      </c>
      <c r="AH3" s="10">
        <v>1110.8</v>
      </c>
      <c r="AI3" s="10">
        <v>818.6</v>
      </c>
      <c r="AJ3" s="10">
        <v>874.7</v>
      </c>
      <c r="AK3" s="11">
        <v>1044.0999999999999</v>
      </c>
      <c r="AL3" s="10">
        <v>915.69999999999993</v>
      </c>
      <c r="AM3" s="10">
        <v>872.2</v>
      </c>
      <c r="AN3" s="10">
        <v>1211.0999999999999</v>
      </c>
      <c r="AO3" s="10">
        <v>1027.1999999999998</v>
      </c>
      <c r="AP3" s="10">
        <v>1070.4000000000001</v>
      </c>
      <c r="AQ3" s="10">
        <v>1341.9</v>
      </c>
      <c r="AR3" s="10">
        <v>1100.3</v>
      </c>
      <c r="AS3" s="10">
        <v>1291</v>
      </c>
      <c r="AT3" s="10">
        <v>1661.7999999999997</v>
      </c>
      <c r="AU3" s="10">
        <v>2317.1</v>
      </c>
      <c r="AV3" s="10">
        <v>4155.8999999999996</v>
      </c>
      <c r="AW3" s="11">
        <v>7015</v>
      </c>
      <c r="AX3" s="10">
        <v>3393.4</v>
      </c>
      <c r="AY3" s="10">
        <v>3866.7</v>
      </c>
      <c r="AZ3" s="10">
        <v>2763.3</v>
      </c>
      <c r="BA3" s="10">
        <v>2043.5</v>
      </c>
      <c r="BB3" s="10">
        <v>2112.9</v>
      </c>
      <c r="BC3" s="10">
        <v>2392.1</v>
      </c>
      <c r="BD3" s="10">
        <v>2091.5</v>
      </c>
      <c r="BE3" s="10">
        <v>2193</v>
      </c>
      <c r="BF3" s="10">
        <v>2421.3000000000002</v>
      </c>
      <c r="BG3" s="10">
        <v>2521.9</v>
      </c>
      <c r="BH3" s="10">
        <v>2521.8000000000002</v>
      </c>
      <c r="BI3" s="11">
        <v>2871.2</v>
      </c>
      <c r="BJ3" s="10">
        <v>2236.1</v>
      </c>
      <c r="BK3" s="10">
        <v>2570.9999999999418</v>
      </c>
      <c r="BL3" s="10">
        <v>3231.1999999999534</v>
      </c>
      <c r="BM3" s="10">
        <v>2317.1999999999998</v>
      </c>
      <c r="BN3" s="10">
        <v>2859.9</v>
      </c>
      <c r="BO3" s="10">
        <v>5746.2</v>
      </c>
      <c r="BP3" s="10">
        <v>3516.9</v>
      </c>
      <c r="BQ3" s="10">
        <v>4199.3999999999996</v>
      </c>
      <c r="BR3" s="10">
        <v>5468.5</v>
      </c>
      <c r="BS3" s="10">
        <v>6174.7999999999993</v>
      </c>
      <c r="BT3" s="10">
        <v>5729</v>
      </c>
      <c r="BU3" s="11">
        <v>6957.7</v>
      </c>
      <c r="BV3" s="10">
        <v>5794.7999999999993</v>
      </c>
      <c r="BW3" s="10">
        <v>6233.7999999999993</v>
      </c>
      <c r="BX3" s="10">
        <v>8415.7999999999993</v>
      </c>
      <c r="BY3" s="10">
        <v>6633.9</v>
      </c>
      <c r="BZ3" s="10">
        <v>7840.5</v>
      </c>
      <c r="CA3" s="10">
        <v>8724.1</v>
      </c>
      <c r="CB3" s="10">
        <v>4487.6000000000004</v>
      </c>
      <c r="CC3" s="10">
        <v>6049.1999999999534</v>
      </c>
      <c r="CD3" s="10">
        <v>8035.4000000000233</v>
      </c>
      <c r="CE3" s="10">
        <v>5742</v>
      </c>
      <c r="CF3" s="10">
        <v>10552.4</v>
      </c>
      <c r="CG3" s="11">
        <v>39746.5</v>
      </c>
      <c r="CH3" s="10">
        <v>66177.599999999991</v>
      </c>
      <c r="CI3" s="10">
        <v>34761.1</v>
      </c>
      <c r="CJ3" s="10">
        <v>21763.399999999998</v>
      </c>
      <c r="CK3" s="10">
        <v>22766.1</v>
      </c>
      <c r="CL3" s="10">
        <v>17718.399999999998</v>
      </c>
      <c r="CM3" s="10">
        <v>13369.2</v>
      </c>
      <c r="CN3" s="10">
        <v>14376.6</v>
      </c>
      <c r="CO3" s="10">
        <v>11516.8</v>
      </c>
    </row>
    <row r="4" spans="1:93" s="12" customFormat="1" x14ac:dyDescent="0.2">
      <c r="A4" s="9" t="s">
        <v>23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1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1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1">
        <v>0</v>
      </c>
      <c r="AL4" s="10">
        <v>0</v>
      </c>
      <c r="AM4" s="10">
        <v>0</v>
      </c>
      <c r="AN4" s="10">
        <v>0.19436</v>
      </c>
      <c r="AO4" s="10">
        <v>0</v>
      </c>
      <c r="AP4" s="10">
        <v>0</v>
      </c>
      <c r="AQ4" s="10">
        <v>0.11402999999999999</v>
      </c>
      <c r="AR4" s="10">
        <v>0</v>
      </c>
      <c r="AS4" s="10">
        <v>0.10353000000000001</v>
      </c>
      <c r="AT4" s="10">
        <v>7.9859999999999987E-2</v>
      </c>
      <c r="AU4" s="10">
        <v>0</v>
      </c>
      <c r="AV4" s="10">
        <v>-0.49177999999999999</v>
      </c>
      <c r="AW4" s="11">
        <v>0</v>
      </c>
      <c r="AX4" s="10">
        <v>0</v>
      </c>
      <c r="AY4" s="10">
        <v>0</v>
      </c>
      <c r="AZ4" s="10">
        <v>0.19436</v>
      </c>
      <c r="BA4" s="10">
        <v>0</v>
      </c>
      <c r="BB4" s="10">
        <v>0</v>
      </c>
      <c r="BC4" s="10">
        <v>0.11402999999999999</v>
      </c>
      <c r="BD4" s="10">
        <v>0</v>
      </c>
      <c r="BE4" s="10">
        <v>0.10353000000000001</v>
      </c>
      <c r="BF4" s="10">
        <v>7.9859999999999987E-2</v>
      </c>
      <c r="BG4" s="10">
        <v>0</v>
      </c>
      <c r="BH4" s="10">
        <v>-0.49177999999999999</v>
      </c>
      <c r="BI4" s="11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1">
        <v>0</v>
      </c>
      <c r="BV4" s="10">
        <v>1.19950227</v>
      </c>
      <c r="BW4" s="10">
        <v>17.226404859999999</v>
      </c>
      <c r="BX4" s="10">
        <v>75.346278130000002</v>
      </c>
      <c r="BY4" s="10">
        <v>15.64833125</v>
      </c>
      <c r="BZ4" s="10">
        <v>12.100447669999999</v>
      </c>
      <c r="CA4" s="10">
        <v>22.546980080000001</v>
      </c>
      <c r="CB4" s="10">
        <v>21.90817852</v>
      </c>
      <c r="CC4" s="10">
        <v>14.495329829999999</v>
      </c>
      <c r="CD4" s="10">
        <v>80.034240449999999</v>
      </c>
      <c r="CE4" s="10">
        <v>26.95342355</v>
      </c>
      <c r="CF4" s="10">
        <v>32.364347680000002</v>
      </c>
      <c r="CG4" s="11">
        <v>51.453965369999999</v>
      </c>
      <c r="CH4" s="10">
        <v>10.743643090000001</v>
      </c>
      <c r="CI4" s="10">
        <v>21.433943920000001</v>
      </c>
      <c r="CJ4" s="10">
        <v>62.819595839999998</v>
      </c>
      <c r="CK4" s="10">
        <v>33.303707559999999</v>
      </c>
      <c r="CL4" s="10">
        <v>38.104525670000001</v>
      </c>
      <c r="CM4" s="10">
        <v>50.697676469999998</v>
      </c>
      <c r="CN4" s="10">
        <v>36.552014159999999</v>
      </c>
      <c r="CO4" s="10">
        <v>70.500726060000005</v>
      </c>
    </row>
    <row r="5" spans="1:93" s="12" customFormat="1" x14ac:dyDescent="0.2">
      <c r="A5" s="9" t="s">
        <v>5</v>
      </c>
      <c r="B5" s="10">
        <v>159.66282558</v>
      </c>
      <c r="C5" s="10">
        <v>123.04653585</v>
      </c>
      <c r="D5" s="10">
        <v>122.8964589</v>
      </c>
      <c r="E5" s="10">
        <v>121.92033382</v>
      </c>
      <c r="F5" s="10">
        <v>128.67221647</v>
      </c>
      <c r="G5" s="10">
        <v>130.31522850000002</v>
      </c>
      <c r="H5" s="10">
        <v>158.49845668</v>
      </c>
      <c r="I5" s="10">
        <v>147.99042563</v>
      </c>
      <c r="J5" s="10">
        <v>154.77033082</v>
      </c>
      <c r="K5" s="10">
        <v>161.79810990999999</v>
      </c>
      <c r="L5" s="10">
        <v>181.18822232999997</v>
      </c>
      <c r="M5" s="11">
        <v>181.18822232999997</v>
      </c>
      <c r="N5" s="10">
        <v>284.79106653000008</v>
      </c>
      <c r="O5" s="10">
        <v>234.49439432999998</v>
      </c>
      <c r="P5" s="10">
        <v>210.37925563999988</v>
      </c>
      <c r="Q5" s="10">
        <v>207.53223151000009</v>
      </c>
      <c r="R5" s="10">
        <v>240.46844930000009</v>
      </c>
      <c r="S5" s="10">
        <v>298.80287621999992</v>
      </c>
      <c r="T5" s="10">
        <v>280.62463240000011</v>
      </c>
      <c r="U5" s="10">
        <v>282.88627941000004</v>
      </c>
      <c r="V5" s="10">
        <v>280.51518722000014</v>
      </c>
      <c r="W5" s="10">
        <v>281.50920110000015</v>
      </c>
      <c r="X5" s="10">
        <v>291.05104385000004</v>
      </c>
      <c r="Y5" s="11">
        <v>332.6713057500001</v>
      </c>
      <c r="Z5" s="10">
        <v>347.13880149000011</v>
      </c>
      <c r="AA5" s="10">
        <v>324.61794427999985</v>
      </c>
      <c r="AB5" s="10">
        <v>332.80388269999958</v>
      </c>
      <c r="AC5" s="10">
        <v>358.67608729000017</v>
      </c>
      <c r="AD5" s="10">
        <v>400.06240367999976</v>
      </c>
      <c r="AE5" s="10">
        <v>429.46473377000007</v>
      </c>
      <c r="AF5" s="10">
        <v>530.78817802000049</v>
      </c>
      <c r="AG5" s="10">
        <v>486.96676471000001</v>
      </c>
      <c r="AH5" s="10">
        <v>496.77345127000035</v>
      </c>
      <c r="AI5" s="10">
        <v>511.84602147999976</v>
      </c>
      <c r="AJ5" s="10">
        <v>526.02070154999956</v>
      </c>
      <c r="AK5" s="11">
        <v>586.60220638999999</v>
      </c>
      <c r="AL5" s="10">
        <v>679.13531003000003</v>
      </c>
      <c r="AM5" s="10">
        <v>568.38059837000003</v>
      </c>
      <c r="AN5" s="10">
        <v>606.40736737999998</v>
      </c>
      <c r="AO5" s="10">
        <v>639.65268813000012</v>
      </c>
      <c r="AP5" s="10">
        <v>795.05393428000002</v>
      </c>
      <c r="AQ5" s="10">
        <v>840.01105429000006</v>
      </c>
      <c r="AR5" s="10">
        <v>973.16794848999996</v>
      </c>
      <c r="AS5" s="10">
        <v>946.45235823000007</v>
      </c>
      <c r="AT5" s="10">
        <v>983.15513478000014</v>
      </c>
      <c r="AU5" s="10">
        <v>1029.0829396199999</v>
      </c>
      <c r="AV5" s="10">
        <v>1109.05439628</v>
      </c>
      <c r="AW5" s="11">
        <v>1220.1720632599997</v>
      </c>
      <c r="AX5" s="10">
        <v>1320.1386407400003</v>
      </c>
      <c r="AY5" s="10">
        <v>1143.3139043399999</v>
      </c>
      <c r="AZ5" s="10">
        <v>1302.6231936700001</v>
      </c>
      <c r="BA5" s="10">
        <v>1263.5672872499999</v>
      </c>
      <c r="BB5" s="10">
        <v>1646.4949442099999</v>
      </c>
      <c r="BC5" s="10">
        <v>1804.5164203799998</v>
      </c>
      <c r="BD5" s="10">
        <v>2144.2255882099998</v>
      </c>
      <c r="BE5" s="10">
        <v>2109.0947657500001</v>
      </c>
      <c r="BF5" s="10">
        <v>2162.15860097</v>
      </c>
      <c r="BG5" s="10">
        <v>2377.8271774100012</v>
      </c>
      <c r="BH5" s="10">
        <v>2397.18394463</v>
      </c>
      <c r="BI5" s="11">
        <v>2599.2955336999985</v>
      </c>
      <c r="BJ5" s="10">
        <v>3300.3877712399972</v>
      </c>
      <c r="BK5" s="10">
        <v>3583.3482395999999</v>
      </c>
      <c r="BL5" s="10">
        <v>3799.9422522599998</v>
      </c>
      <c r="BM5" s="10">
        <v>4105.9920422100004</v>
      </c>
      <c r="BN5" s="10">
        <v>4707.0942173900003</v>
      </c>
      <c r="BO5" s="10">
        <v>5217.3837134700007</v>
      </c>
      <c r="BP5" s="10">
        <v>5911.1572864500013</v>
      </c>
      <c r="BQ5" s="10">
        <v>5971.4968964099971</v>
      </c>
      <c r="BR5" s="10">
        <v>6123.5721860300036</v>
      </c>
      <c r="BS5" s="10">
        <v>6438.6443716699978</v>
      </c>
      <c r="BT5" s="10">
        <v>6174.2983427200052</v>
      </c>
      <c r="BU5" s="11">
        <v>6503.1328813100044</v>
      </c>
      <c r="BV5" s="10">
        <v>8103.2042941599975</v>
      </c>
      <c r="BW5" s="10">
        <v>6797.6301451399995</v>
      </c>
      <c r="BX5" s="10">
        <v>5897.7404255299989</v>
      </c>
      <c r="BY5" s="10">
        <v>6163.3404241399985</v>
      </c>
      <c r="BZ5" s="10">
        <v>6915.3484064999939</v>
      </c>
      <c r="CA5" s="10">
        <v>6991.7806055299952</v>
      </c>
      <c r="CB5" s="10">
        <v>8878.5762240399999</v>
      </c>
      <c r="CC5" s="10">
        <v>8348.2683605999991</v>
      </c>
      <c r="CD5" s="10">
        <v>7975.193726700003</v>
      </c>
      <c r="CE5" s="10">
        <v>9374.3119218499996</v>
      </c>
      <c r="CF5" s="10">
        <v>9826.1352255599995</v>
      </c>
      <c r="CG5" s="11">
        <v>11077.881379190003</v>
      </c>
      <c r="CH5" s="10">
        <v>13741.967111509999</v>
      </c>
      <c r="CI5" s="10">
        <v>10154.070953440001</v>
      </c>
      <c r="CJ5" s="10">
        <v>9355.5875666400025</v>
      </c>
      <c r="CK5" s="10">
        <v>9223.0036039299957</v>
      </c>
      <c r="CL5" s="10">
        <v>9474.6849877400018</v>
      </c>
      <c r="CM5" s="10">
        <v>11022.98085516</v>
      </c>
      <c r="CN5" s="10">
        <v>14157.507914599999</v>
      </c>
      <c r="CO5" s="10">
        <v>12038.110487559999</v>
      </c>
    </row>
    <row r="6" spans="1:93" s="12" customFormat="1" x14ac:dyDescent="0.2">
      <c r="A6" s="9" t="s">
        <v>21</v>
      </c>
      <c r="B6" s="10">
        <v>43</v>
      </c>
      <c r="C6" s="10">
        <v>39</v>
      </c>
      <c r="D6" s="10">
        <v>18</v>
      </c>
      <c r="E6" s="10">
        <v>17</v>
      </c>
      <c r="F6" s="10">
        <v>23</v>
      </c>
      <c r="G6" s="10">
        <v>17</v>
      </c>
      <c r="H6" s="10">
        <v>17</v>
      </c>
      <c r="I6" s="10">
        <v>14</v>
      </c>
      <c r="J6" s="10">
        <v>16</v>
      </c>
      <c r="K6" s="10">
        <v>16</v>
      </c>
      <c r="L6" s="10">
        <v>17</v>
      </c>
      <c r="M6" s="11">
        <v>48</v>
      </c>
      <c r="N6" s="10">
        <v>68</v>
      </c>
      <c r="O6" s="10">
        <v>56</v>
      </c>
      <c r="P6" s="10">
        <v>32</v>
      </c>
      <c r="Q6" s="10">
        <v>17</v>
      </c>
      <c r="R6" s="10">
        <v>22</v>
      </c>
      <c r="S6" s="10">
        <v>28</v>
      </c>
      <c r="T6" s="10">
        <v>37</v>
      </c>
      <c r="U6" s="10">
        <v>24</v>
      </c>
      <c r="V6" s="10">
        <v>37</v>
      </c>
      <c r="W6" s="10">
        <v>44</v>
      </c>
      <c r="X6" s="10">
        <v>34</v>
      </c>
      <c r="Y6" s="11">
        <v>106</v>
      </c>
      <c r="Z6" s="10">
        <v>265</v>
      </c>
      <c r="AA6" s="10">
        <v>114</v>
      </c>
      <c r="AB6" s="10">
        <v>79</v>
      </c>
      <c r="AC6" s="10">
        <v>61</v>
      </c>
      <c r="AD6" s="10">
        <v>80</v>
      </c>
      <c r="AE6" s="10">
        <v>61</v>
      </c>
      <c r="AF6" s="10">
        <v>61</v>
      </c>
      <c r="AG6" s="10">
        <v>70</v>
      </c>
      <c r="AH6" s="10">
        <v>63</v>
      </c>
      <c r="AI6" s="10">
        <v>47</v>
      </c>
      <c r="AJ6" s="10">
        <v>64</v>
      </c>
      <c r="AK6" s="11">
        <v>197</v>
      </c>
      <c r="AL6" s="10">
        <v>347</v>
      </c>
      <c r="AM6" s="10">
        <v>126</v>
      </c>
      <c r="AN6" s="10">
        <v>127</v>
      </c>
      <c r="AO6" s="10">
        <v>114</v>
      </c>
      <c r="AP6" s="10">
        <v>86</v>
      </c>
      <c r="AQ6" s="10">
        <v>99</v>
      </c>
      <c r="AR6" s="10">
        <v>91</v>
      </c>
      <c r="AS6" s="10">
        <v>93</v>
      </c>
      <c r="AT6" s="10">
        <v>95</v>
      </c>
      <c r="AU6" s="10">
        <v>103</v>
      </c>
      <c r="AV6" s="10">
        <v>84</v>
      </c>
      <c r="AW6" s="11">
        <v>381</v>
      </c>
      <c r="AX6" s="10">
        <v>726</v>
      </c>
      <c r="AY6" s="10">
        <v>235</v>
      </c>
      <c r="AZ6" s="10">
        <v>242</v>
      </c>
      <c r="BA6" s="10">
        <v>226</v>
      </c>
      <c r="BB6" s="10">
        <v>139</v>
      </c>
      <c r="BC6" s="10">
        <v>244</v>
      </c>
      <c r="BD6" s="10">
        <v>208</v>
      </c>
      <c r="BE6" s="10">
        <v>207</v>
      </c>
      <c r="BF6" s="10">
        <v>226</v>
      </c>
      <c r="BG6" s="10">
        <v>189</v>
      </c>
      <c r="BH6" s="10">
        <v>253</v>
      </c>
      <c r="BI6" s="11">
        <v>706</v>
      </c>
      <c r="BJ6" s="10">
        <v>2761</v>
      </c>
      <c r="BK6" s="10">
        <v>693</v>
      </c>
      <c r="BL6" s="10">
        <v>369</v>
      </c>
      <c r="BM6" s="10">
        <v>371</v>
      </c>
      <c r="BN6" s="10">
        <v>512</v>
      </c>
      <c r="BO6" s="10">
        <v>428</v>
      </c>
      <c r="BP6" s="10">
        <v>753</v>
      </c>
      <c r="BQ6" s="10">
        <v>507</v>
      </c>
      <c r="BR6" s="10">
        <v>535</v>
      </c>
      <c r="BS6" s="10">
        <v>753</v>
      </c>
      <c r="BT6" s="10">
        <v>610</v>
      </c>
      <c r="BU6" s="11">
        <v>2263</v>
      </c>
      <c r="BV6" s="10">
        <v>5830</v>
      </c>
      <c r="BW6" s="10">
        <v>1512</v>
      </c>
      <c r="BX6" s="10">
        <v>1057</v>
      </c>
      <c r="BY6" s="10">
        <v>1075</v>
      </c>
      <c r="BZ6" s="10">
        <v>1138</v>
      </c>
      <c r="CA6" s="10">
        <v>977</v>
      </c>
      <c r="CB6" s="10">
        <v>1121</v>
      </c>
      <c r="CC6" s="10">
        <v>1626</v>
      </c>
      <c r="CD6" s="10">
        <v>1744</v>
      </c>
      <c r="CE6" s="10">
        <v>1632</v>
      </c>
      <c r="CF6" s="10">
        <v>1380</v>
      </c>
      <c r="CG6" s="11">
        <v>4208</v>
      </c>
      <c r="CH6" s="10">
        <v>8070</v>
      </c>
      <c r="CI6" s="10">
        <v>3496</v>
      </c>
      <c r="CJ6" s="10">
        <v>2673</v>
      </c>
      <c r="CK6" s="10">
        <v>2639</v>
      </c>
      <c r="CL6" s="10">
        <v>2438</v>
      </c>
      <c r="CM6" s="10">
        <v>2857</v>
      </c>
      <c r="CN6" s="10">
        <v>3084</v>
      </c>
      <c r="CO6" s="10">
        <v>2788</v>
      </c>
    </row>
    <row r="7" spans="1:93" s="12" customFormat="1" x14ac:dyDescent="0.2">
      <c r="A7" s="9" t="s">
        <v>6</v>
      </c>
      <c r="B7" s="10">
        <v>199.78078199999999</v>
      </c>
      <c r="C7" s="10">
        <v>164.94456299999999</v>
      </c>
      <c r="D7" s="10">
        <v>163.99107100000001</v>
      </c>
      <c r="E7" s="10">
        <v>180.535811</v>
      </c>
      <c r="F7" s="10">
        <v>186.233487</v>
      </c>
      <c r="G7" s="10">
        <v>166.56096099999999</v>
      </c>
      <c r="H7" s="10">
        <v>221.201964</v>
      </c>
      <c r="I7" s="10">
        <v>182.01048299999999</v>
      </c>
      <c r="J7" s="10">
        <v>169.43225699999999</v>
      </c>
      <c r="K7" s="10">
        <v>240.18095500000001</v>
      </c>
      <c r="L7" s="10">
        <v>162.58657500000001</v>
      </c>
      <c r="M7" s="11">
        <v>197.24975000000001</v>
      </c>
      <c r="N7" s="10">
        <v>303.700624</v>
      </c>
      <c r="O7" s="10">
        <v>252.12918400000001</v>
      </c>
      <c r="P7" s="10">
        <v>93.508240000000001</v>
      </c>
      <c r="Q7" s="10">
        <v>9.9737880000000008</v>
      </c>
      <c r="R7" s="10">
        <v>29.868836000000002</v>
      </c>
      <c r="S7" s="10">
        <v>77.302085000000005</v>
      </c>
      <c r="T7" s="10">
        <v>97.962826000000007</v>
      </c>
      <c r="U7" s="10">
        <v>97.694924</v>
      </c>
      <c r="V7" s="10">
        <v>153.608904</v>
      </c>
      <c r="W7" s="10">
        <v>125.938125</v>
      </c>
      <c r="X7" s="10">
        <v>145.24956800000001</v>
      </c>
      <c r="Y7" s="11">
        <v>220.32160400000001</v>
      </c>
      <c r="Z7" s="10">
        <v>254.55329900000001</v>
      </c>
      <c r="AA7" s="10">
        <v>402.82958400000001</v>
      </c>
      <c r="AB7" s="10">
        <v>380.55814299999997</v>
      </c>
      <c r="AC7" s="10">
        <v>346.35599500000001</v>
      </c>
      <c r="AD7" s="10">
        <v>693.24592399999995</v>
      </c>
      <c r="AE7" s="10">
        <v>208.44468800000001</v>
      </c>
      <c r="AF7" s="10">
        <v>269.73131999999998</v>
      </c>
      <c r="AG7" s="10">
        <v>411.90706299999999</v>
      </c>
      <c r="AH7" s="10">
        <v>447.660708</v>
      </c>
      <c r="AI7" s="10">
        <v>484.27279399999998</v>
      </c>
      <c r="AJ7" s="10">
        <v>494.80004600000001</v>
      </c>
      <c r="AK7" s="11">
        <v>555.73606400000006</v>
      </c>
      <c r="AL7" s="10">
        <v>504.37944099999999</v>
      </c>
      <c r="AM7" s="10">
        <v>551.18671400000005</v>
      </c>
      <c r="AN7" s="10">
        <v>736.76754800000003</v>
      </c>
      <c r="AO7" s="10">
        <v>694.88394900000003</v>
      </c>
      <c r="AP7" s="10">
        <v>1190.4912429999999</v>
      </c>
      <c r="AQ7" s="10">
        <v>642.69573100000002</v>
      </c>
      <c r="AR7" s="10">
        <v>813.493923</v>
      </c>
      <c r="AS7" s="10">
        <v>872.83742500000005</v>
      </c>
      <c r="AT7" s="10">
        <v>666.71581900000001</v>
      </c>
      <c r="AU7" s="10">
        <v>833.242616</v>
      </c>
      <c r="AV7" s="10">
        <v>1025.2129809999999</v>
      </c>
      <c r="AW7" s="11">
        <v>790.05447700000002</v>
      </c>
      <c r="AX7" s="10">
        <v>979.022198</v>
      </c>
      <c r="AY7" s="10">
        <v>1275.1945820000001</v>
      </c>
      <c r="AZ7" s="10">
        <v>1061.727592</v>
      </c>
      <c r="BA7" s="10">
        <v>1038.956837</v>
      </c>
      <c r="BB7" s="10">
        <v>1234.2602529999999</v>
      </c>
      <c r="BC7" s="10">
        <v>1147.285644</v>
      </c>
      <c r="BD7" s="10">
        <v>1292.7509319999999</v>
      </c>
      <c r="BE7" s="10">
        <v>1598.633879</v>
      </c>
      <c r="BF7" s="10">
        <v>1375.1808590000001</v>
      </c>
      <c r="BG7" s="10">
        <v>1608.369876</v>
      </c>
      <c r="BH7" s="10">
        <v>1642.568839</v>
      </c>
      <c r="BI7" s="11">
        <v>1479.869387</v>
      </c>
      <c r="BJ7" s="10">
        <v>2496.673374</v>
      </c>
      <c r="BK7" s="10">
        <v>1956.014447</v>
      </c>
      <c r="BL7" s="10">
        <v>1901.0063769999999</v>
      </c>
      <c r="BM7" s="10">
        <v>2795.2682319999999</v>
      </c>
      <c r="BN7" s="10">
        <v>2145.4850780000002</v>
      </c>
      <c r="BO7" s="10">
        <v>2527.4246739999999</v>
      </c>
      <c r="BP7" s="10">
        <v>3255.7517309999998</v>
      </c>
      <c r="BQ7" s="10">
        <v>3134.783441</v>
      </c>
      <c r="BR7" s="10">
        <v>3218.095941</v>
      </c>
      <c r="BS7" s="10">
        <v>3616.7227170000001</v>
      </c>
      <c r="BT7" s="10">
        <v>3602.061526</v>
      </c>
      <c r="BU7" s="11">
        <v>4968.6396759999998</v>
      </c>
      <c r="BV7" s="10">
        <v>4619.2832619999999</v>
      </c>
      <c r="BW7" s="10">
        <v>4407.5951679999998</v>
      </c>
      <c r="BX7" s="10">
        <v>4490.5775869999998</v>
      </c>
      <c r="BY7" s="10">
        <v>4311.1408369999999</v>
      </c>
      <c r="BZ7" s="10">
        <v>5022.1603150000001</v>
      </c>
      <c r="CA7" s="10">
        <v>4867.5419320000001</v>
      </c>
      <c r="CB7" s="10">
        <v>5936.7286709999998</v>
      </c>
      <c r="CC7" s="10">
        <v>5670.6016749999999</v>
      </c>
      <c r="CD7" s="10">
        <v>5948.749178</v>
      </c>
      <c r="CE7" s="10">
        <v>5941.2602889999998</v>
      </c>
      <c r="CF7" s="10">
        <v>5121.6947140000002</v>
      </c>
      <c r="CG7" s="11">
        <v>6425.5410879999999</v>
      </c>
      <c r="CH7" s="10">
        <v>6399.7338579999996</v>
      </c>
      <c r="CI7" s="10">
        <v>6227.149856</v>
      </c>
      <c r="CJ7" s="10">
        <v>5842.169208999956</v>
      </c>
      <c r="CK7" s="10">
        <v>5770.8002740000002</v>
      </c>
      <c r="CL7" s="10">
        <v>5600.257818</v>
      </c>
      <c r="CM7" s="10">
        <v>6891.2824410000003</v>
      </c>
      <c r="CN7" s="10">
        <v>6090.1457360000004</v>
      </c>
      <c r="CO7" s="10">
        <v>6507.7193649999999</v>
      </c>
    </row>
    <row r="8" spans="1:93" s="12" customFormat="1" x14ac:dyDescent="0.2">
      <c r="A8" s="9" t="s">
        <v>52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1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24</v>
      </c>
      <c r="V8" s="10" t="s">
        <v>24</v>
      </c>
      <c r="W8" s="10" t="s">
        <v>24</v>
      </c>
      <c r="X8" s="10" t="s">
        <v>24</v>
      </c>
      <c r="Y8" s="11" t="s">
        <v>24</v>
      </c>
      <c r="Z8" s="10" t="s">
        <v>24</v>
      </c>
      <c r="AA8" s="10" t="s">
        <v>24</v>
      </c>
      <c r="AB8" s="10" t="s">
        <v>24</v>
      </c>
      <c r="AC8" s="10" t="s">
        <v>24</v>
      </c>
      <c r="AD8" s="10" t="s">
        <v>24</v>
      </c>
      <c r="AE8" s="10" t="s">
        <v>24</v>
      </c>
      <c r="AF8" s="10" t="s">
        <v>24</v>
      </c>
      <c r="AG8" s="10" t="s">
        <v>24</v>
      </c>
      <c r="AH8" s="10" t="s">
        <v>24</v>
      </c>
      <c r="AI8" s="10" t="s">
        <v>24</v>
      </c>
      <c r="AJ8" s="10" t="s">
        <v>24</v>
      </c>
      <c r="AK8" s="11" t="s">
        <v>24</v>
      </c>
      <c r="AL8" s="10" t="s">
        <v>24</v>
      </c>
      <c r="AM8" s="10" t="s">
        <v>24</v>
      </c>
      <c r="AN8" s="10" t="s">
        <v>24</v>
      </c>
      <c r="AO8" s="10" t="s">
        <v>24</v>
      </c>
      <c r="AP8" s="10" t="s">
        <v>24</v>
      </c>
      <c r="AQ8" s="10" t="s">
        <v>24</v>
      </c>
      <c r="AR8" s="10" t="s">
        <v>24</v>
      </c>
      <c r="AS8" s="10" t="s">
        <v>24</v>
      </c>
      <c r="AT8" s="10" t="s">
        <v>24</v>
      </c>
      <c r="AU8" s="10" t="s">
        <v>24</v>
      </c>
      <c r="AV8" s="10" t="s">
        <v>24</v>
      </c>
      <c r="AW8" s="11" t="s">
        <v>24</v>
      </c>
      <c r="AX8" s="10" t="s">
        <v>24</v>
      </c>
      <c r="AY8" s="10" t="s">
        <v>24</v>
      </c>
      <c r="AZ8" s="10" t="s">
        <v>24</v>
      </c>
      <c r="BA8" s="10" t="s">
        <v>24</v>
      </c>
      <c r="BB8" s="10" t="s">
        <v>24</v>
      </c>
      <c r="BC8" s="10" t="s">
        <v>24</v>
      </c>
      <c r="BD8" s="10" t="s">
        <v>24</v>
      </c>
      <c r="BE8" s="10" t="s">
        <v>24</v>
      </c>
      <c r="BF8" s="10" t="s">
        <v>24</v>
      </c>
      <c r="BG8" s="10" t="s">
        <v>24</v>
      </c>
      <c r="BH8" s="10" t="s">
        <v>24</v>
      </c>
      <c r="BI8" s="11" t="s">
        <v>24</v>
      </c>
      <c r="BJ8" s="10">
        <v>14.880715480000003</v>
      </c>
      <c r="BK8" s="10">
        <v>16.782431450000004</v>
      </c>
      <c r="BL8" s="10">
        <v>16.30151128</v>
      </c>
      <c r="BM8" s="10">
        <v>18.303354510000002</v>
      </c>
      <c r="BN8" s="10">
        <v>21.229716800000002</v>
      </c>
      <c r="BO8" s="10">
        <v>24.738256470000003</v>
      </c>
      <c r="BP8" s="10">
        <v>27.386351380000001</v>
      </c>
      <c r="BQ8" s="10">
        <v>32.724597469999999</v>
      </c>
      <c r="BR8" s="10">
        <v>32.319586970000003</v>
      </c>
      <c r="BS8" s="10">
        <v>33.630665839999999</v>
      </c>
      <c r="BT8" s="10">
        <v>35.194834749999998</v>
      </c>
      <c r="BU8" s="11">
        <v>28.07</v>
      </c>
      <c r="BV8" s="10">
        <v>38.880000000000003</v>
      </c>
      <c r="BW8" s="10">
        <v>39.521711209999999</v>
      </c>
      <c r="BX8" s="10">
        <v>35.184779129999995</v>
      </c>
      <c r="BY8" s="10">
        <v>51.226082249999997</v>
      </c>
      <c r="BZ8" s="10">
        <v>40.746668230000004</v>
      </c>
      <c r="CA8" s="10">
        <v>47.771828409999998</v>
      </c>
      <c r="CB8" s="10">
        <v>54.193716850000001</v>
      </c>
      <c r="CC8" s="10">
        <v>64.351329269999994</v>
      </c>
      <c r="CD8" s="10">
        <v>49.692085069999997</v>
      </c>
      <c r="CE8" s="10">
        <v>50.164545629999992</v>
      </c>
      <c r="CF8" s="10">
        <v>35.773379290000001</v>
      </c>
      <c r="CG8" s="11">
        <v>64.23952414</v>
      </c>
      <c r="CH8" s="10">
        <v>76.439363349999994</v>
      </c>
      <c r="CI8" s="10">
        <v>47.317616159999993</v>
      </c>
      <c r="CJ8" s="10">
        <v>79.213274799999994</v>
      </c>
      <c r="CK8" s="10">
        <v>73.033897890000006</v>
      </c>
      <c r="CL8" s="10">
        <v>64.41850882</v>
      </c>
      <c r="CM8" s="10">
        <v>68.547338980000063</v>
      </c>
      <c r="CN8" s="10">
        <v>71.524767159999996</v>
      </c>
      <c r="CO8" s="10"/>
    </row>
    <row r="9" spans="1:93" s="12" customFormat="1" x14ac:dyDescent="0.2">
      <c r="A9" s="9" t="s">
        <v>7</v>
      </c>
      <c r="B9" s="10">
        <v>115.24757100000001</v>
      </c>
      <c r="C9" s="10">
        <v>85.491431000000006</v>
      </c>
      <c r="D9" s="10">
        <v>89.99538299999999</v>
      </c>
      <c r="E9" s="10">
        <v>99.962413999999995</v>
      </c>
      <c r="F9" s="10">
        <v>104.546243</v>
      </c>
      <c r="G9" s="10">
        <v>103.63516299999999</v>
      </c>
      <c r="H9" s="10">
        <v>130.94952699999999</v>
      </c>
      <c r="I9" s="10">
        <v>101.171696</v>
      </c>
      <c r="J9" s="10">
        <v>102.19684099999999</v>
      </c>
      <c r="K9" s="10">
        <v>102.92380199999999</v>
      </c>
      <c r="L9" s="10">
        <v>107.413397</v>
      </c>
      <c r="M9" s="11">
        <v>103.229564</v>
      </c>
      <c r="N9" s="10">
        <v>90.389415999999997</v>
      </c>
      <c r="O9" s="10">
        <v>108.69528699999999</v>
      </c>
      <c r="P9" s="10">
        <v>105.23846200000001</v>
      </c>
      <c r="Q9" s="10">
        <v>94.682679999999991</v>
      </c>
      <c r="R9" s="10">
        <v>104.76949900000001</v>
      </c>
      <c r="S9" s="10">
        <v>113.930577</v>
      </c>
      <c r="T9" s="10">
        <v>152.14012399999999</v>
      </c>
      <c r="U9" s="10">
        <v>115.656947</v>
      </c>
      <c r="V9" s="10">
        <v>121.35736199999999</v>
      </c>
      <c r="W9" s="10">
        <v>121.741894</v>
      </c>
      <c r="X9" s="10">
        <v>124.61681200000001</v>
      </c>
      <c r="Y9" s="11">
        <v>128.54590300000001</v>
      </c>
      <c r="Z9" s="10">
        <v>151.46653600000002</v>
      </c>
      <c r="AA9" s="10">
        <v>133.98954800000001</v>
      </c>
      <c r="AB9" s="10">
        <v>142.771052</v>
      </c>
      <c r="AC9" s="10">
        <v>140.5</v>
      </c>
      <c r="AD9" s="10">
        <v>154.315765</v>
      </c>
      <c r="AE9" s="10">
        <v>161.197756</v>
      </c>
      <c r="AF9" s="10">
        <v>218.38359499999999</v>
      </c>
      <c r="AG9" s="10">
        <v>173.13757699999999</v>
      </c>
      <c r="AH9" s="10">
        <v>190.66811200000001</v>
      </c>
      <c r="AI9" s="10">
        <v>196.736469</v>
      </c>
      <c r="AJ9" s="10">
        <v>187.73969500000001</v>
      </c>
      <c r="AK9" s="11">
        <v>190.91053299999999</v>
      </c>
      <c r="AL9" s="10">
        <v>148.75910099999999</v>
      </c>
      <c r="AM9" s="10">
        <v>85.060629000000006</v>
      </c>
      <c r="AN9" s="10">
        <v>93.738378999999995</v>
      </c>
      <c r="AO9" s="10">
        <v>97.673045000000002</v>
      </c>
      <c r="AP9" s="10">
        <v>105.01682</v>
      </c>
      <c r="AQ9" s="10">
        <v>111.674527</v>
      </c>
      <c r="AR9" s="10">
        <v>109.32541999999999</v>
      </c>
      <c r="AS9" s="10">
        <v>119.549826</v>
      </c>
      <c r="AT9" s="10">
        <v>126.808475</v>
      </c>
      <c r="AU9" s="10">
        <v>127.265612</v>
      </c>
      <c r="AV9" s="10">
        <v>136.59600800000001</v>
      </c>
      <c r="AW9" s="11">
        <v>138.74402000000001</v>
      </c>
      <c r="AX9" s="10">
        <v>145.47355099999999</v>
      </c>
      <c r="AY9" s="10">
        <v>124.94319900000001</v>
      </c>
      <c r="AZ9" s="10">
        <v>154.63576</v>
      </c>
      <c r="BA9" s="10">
        <v>170.244451</v>
      </c>
      <c r="BB9" s="10">
        <v>178.09965399999999</v>
      </c>
      <c r="BC9" s="10">
        <v>196.48018500000001</v>
      </c>
      <c r="BD9" s="10">
        <v>222.58943500000001</v>
      </c>
      <c r="BE9" s="10">
        <v>252.68012200000001</v>
      </c>
      <c r="BF9" s="10">
        <v>247.17319900000001</v>
      </c>
      <c r="BG9" s="10">
        <v>263.98345999999998</v>
      </c>
      <c r="BH9" s="10">
        <v>278.143373</v>
      </c>
      <c r="BI9" s="11">
        <v>314.78961700000002</v>
      </c>
      <c r="BJ9" s="10">
        <v>332.98827299999903</v>
      </c>
      <c r="BK9" s="10">
        <v>314.32350800000131</v>
      </c>
      <c r="BL9" s="10">
        <v>340.32035999999789</v>
      </c>
      <c r="BM9" s="10">
        <v>439.39410399999906</v>
      </c>
      <c r="BN9" s="10">
        <v>496.1742280000035</v>
      </c>
      <c r="BO9" s="10">
        <v>527.83146500000294</v>
      </c>
      <c r="BP9" s="10">
        <v>550.56741799999872</v>
      </c>
      <c r="BQ9" s="10">
        <v>673.67625099999714</v>
      </c>
      <c r="BR9" s="10">
        <v>678.7428379999983</v>
      </c>
      <c r="BS9" s="10">
        <v>714.42474800000491</v>
      </c>
      <c r="BT9" s="10">
        <v>794.05561100000341</v>
      </c>
      <c r="BU9" s="11">
        <v>807.62690300000395</v>
      </c>
      <c r="BV9" s="10">
        <v>883.99271900000167</v>
      </c>
      <c r="BW9" s="10">
        <v>756.58978999999817</v>
      </c>
      <c r="BX9" s="10">
        <v>817.54004999999597</v>
      </c>
      <c r="BY9" s="10">
        <v>891.64445100000012</v>
      </c>
      <c r="BZ9" s="10">
        <v>990.08458799999789</v>
      </c>
      <c r="CA9" s="10">
        <v>1066.7418849999958</v>
      </c>
      <c r="CB9" s="10">
        <v>1433.2815399999963</v>
      </c>
      <c r="CC9" s="10">
        <v>1623.3375169999927</v>
      </c>
      <c r="CD9" s="10">
        <v>1756.2077330000029</v>
      </c>
      <c r="CE9" s="10">
        <v>1942.1248480000068</v>
      </c>
      <c r="CF9" s="10">
        <v>1748.3399539999955</v>
      </c>
      <c r="CG9" s="11">
        <v>2051.4774880000041</v>
      </c>
      <c r="CH9" s="10">
        <v>2407.6586539999989</v>
      </c>
      <c r="CI9" s="10">
        <v>1922.3822269999946</v>
      </c>
      <c r="CJ9" s="10">
        <v>2385.2739419999998</v>
      </c>
      <c r="CK9" s="10">
        <v>2499.0713880000112</v>
      </c>
      <c r="CL9" s="10">
        <v>2471.3703039999964</v>
      </c>
      <c r="CM9" s="10">
        <v>2692.0323539999954</v>
      </c>
      <c r="CN9" s="10">
        <v>3271.0861489999952</v>
      </c>
      <c r="CO9" s="10">
        <v>2782.7092319999938</v>
      </c>
    </row>
    <row r="10" spans="1:93" s="12" customFormat="1" x14ac:dyDescent="0.2">
      <c r="A10" s="9" t="s">
        <v>8</v>
      </c>
      <c r="B10" s="10">
        <v>10.159742450000001</v>
      </c>
      <c r="C10" s="10">
        <v>11.56000878</v>
      </c>
      <c r="D10" s="10">
        <v>11.384255080000001</v>
      </c>
      <c r="E10" s="10">
        <v>12.380571949999998</v>
      </c>
      <c r="F10" s="10">
        <v>14.761823979999999</v>
      </c>
      <c r="G10" s="10">
        <v>12.371581809999999</v>
      </c>
      <c r="H10" s="10">
        <v>13.3566422</v>
      </c>
      <c r="I10" s="10">
        <v>12.900930649999999</v>
      </c>
      <c r="J10" s="10">
        <v>15.610029789999999</v>
      </c>
      <c r="K10" s="10">
        <v>13.934919200000001</v>
      </c>
      <c r="L10" s="10">
        <v>12.55088063</v>
      </c>
      <c r="M10" s="11">
        <v>14.633298120000001</v>
      </c>
      <c r="N10" s="10">
        <v>11.438263269999998</v>
      </c>
      <c r="O10" s="10">
        <v>14.580260120000002</v>
      </c>
      <c r="P10" s="10">
        <v>15.15616814</v>
      </c>
      <c r="Q10" s="10">
        <v>8.2272069099999996</v>
      </c>
      <c r="R10" s="10">
        <v>13.01162306</v>
      </c>
      <c r="S10" s="10">
        <v>16.201597549999999</v>
      </c>
      <c r="T10" s="10">
        <v>15.926815210000003</v>
      </c>
      <c r="U10" s="10">
        <v>14.99123307</v>
      </c>
      <c r="V10" s="10">
        <v>14.57304006</v>
      </c>
      <c r="W10" s="10">
        <v>15.67180359</v>
      </c>
      <c r="X10" s="10">
        <v>18.491373549999999</v>
      </c>
      <c r="Y10" s="11">
        <v>16.217804870000002</v>
      </c>
      <c r="Z10" s="10">
        <v>13.562873249999999</v>
      </c>
      <c r="AA10" s="10">
        <v>24.88539273</v>
      </c>
      <c r="AB10" s="10">
        <v>28.871165200000004</v>
      </c>
      <c r="AC10" s="10">
        <v>35.39</v>
      </c>
      <c r="AD10" s="10">
        <v>25.075301769999999</v>
      </c>
      <c r="AE10" s="10">
        <v>29.872189410000001</v>
      </c>
      <c r="AF10" s="10">
        <v>27.351921319999999</v>
      </c>
      <c r="AG10" s="10">
        <v>29.028559850000001</v>
      </c>
      <c r="AH10" s="10">
        <v>28.864097210000001</v>
      </c>
      <c r="AI10" s="10">
        <v>31.40558489</v>
      </c>
      <c r="AJ10" s="10">
        <v>67.439142790000005</v>
      </c>
      <c r="AK10" s="11">
        <v>43.947088180000009</v>
      </c>
      <c r="AL10" s="10">
        <v>47.848407270000003</v>
      </c>
      <c r="AM10" s="10">
        <v>35.982730799999999</v>
      </c>
      <c r="AN10" s="10">
        <v>49.372082979999995</v>
      </c>
      <c r="AO10" s="10">
        <v>40.595198329999995</v>
      </c>
      <c r="AP10" s="10">
        <v>60.392931470000001</v>
      </c>
      <c r="AQ10" s="10">
        <v>56.299817040000001</v>
      </c>
      <c r="AR10" s="10">
        <v>53.226901979999994</v>
      </c>
      <c r="AS10" s="10">
        <v>59.160419919999995</v>
      </c>
      <c r="AT10" s="10">
        <v>67.25949292</v>
      </c>
      <c r="AU10" s="10">
        <v>61.077295190000001</v>
      </c>
      <c r="AV10" s="10">
        <v>56.834263300000003</v>
      </c>
      <c r="AW10" s="11">
        <v>59.54495258</v>
      </c>
      <c r="AX10" s="10">
        <v>45.730053549999994</v>
      </c>
      <c r="AY10" s="10">
        <v>65.534039239999998</v>
      </c>
      <c r="AZ10" s="10">
        <v>76.203339209999996</v>
      </c>
      <c r="BA10" s="10">
        <v>65.192433010000002</v>
      </c>
      <c r="BB10" s="10">
        <v>64.326510620000008</v>
      </c>
      <c r="BC10" s="10">
        <v>66.141310600000011</v>
      </c>
      <c r="BD10" s="10">
        <v>74.375423070000011</v>
      </c>
      <c r="BE10" s="10">
        <v>80.135761390000013</v>
      </c>
      <c r="BF10" s="10">
        <v>75.966807990000007</v>
      </c>
      <c r="BG10" s="10">
        <v>80.741587229999993</v>
      </c>
      <c r="BH10" s="10">
        <v>86.3852701</v>
      </c>
      <c r="BI10" s="11">
        <v>100.21073216999999</v>
      </c>
      <c r="BJ10" s="10">
        <v>61.075443710000002</v>
      </c>
      <c r="BK10" s="10">
        <v>76.069342849999998</v>
      </c>
      <c r="BL10" s="10">
        <v>122.91297681</v>
      </c>
      <c r="BM10" s="10">
        <v>79.666049940000448</v>
      </c>
      <c r="BN10" s="10">
        <v>104.82831953000004</v>
      </c>
      <c r="BO10" s="10">
        <v>233.52834934999919</v>
      </c>
      <c r="BP10" s="10">
        <v>283.23289008999927</v>
      </c>
      <c r="BQ10" s="10">
        <v>249.78150743999998</v>
      </c>
      <c r="BR10" s="10">
        <v>232.77559644999928</v>
      </c>
      <c r="BS10" s="10">
        <v>255.26120402999913</v>
      </c>
      <c r="BT10" s="10">
        <v>226.05344842999693</v>
      </c>
      <c r="BU10" s="11">
        <v>243.15591040000072</v>
      </c>
      <c r="BV10" s="10">
        <v>282.73704686000019</v>
      </c>
      <c r="BW10" s="10">
        <v>283.01277984999979</v>
      </c>
      <c r="BX10" s="10">
        <v>373.55202638999981</v>
      </c>
      <c r="BY10" s="10">
        <v>311.34779816000082</v>
      </c>
      <c r="BZ10" s="10">
        <v>319.04499761999978</v>
      </c>
      <c r="CA10" s="10">
        <v>345.93604640000194</v>
      </c>
      <c r="CB10" s="10">
        <v>380.99515385999985</v>
      </c>
      <c r="CC10" s="10">
        <v>341.43709427000067</v>
      </c>
      <c r="CD10" s="10">
        <v>364.2476001899995</v>
      </c>
      <c r="CE10" s="10">
        <v>334.76197452999986</v>
      </c>
      <c r="CF10" s="10">
        <v>361.71023215000059</v>
      </c>
      <c r="CG10" s="11">
        <v>369.86751011999695</v>
      </c>
      <c r="CH10" s="10">
        <v>312.19596400000046</v>
      </c>
      <c r="CI10" s="10">
        <v>428.32866068999999</v>
      </c>
      <c r="CJ10" s="10">
        <v>458.9029613799994</v>
      </c>
      <c r="CK10" s="10">
        <v>433.71113517999765</v>
      </c>
      <c r="CL10" s="10">
        <v>713.27304211000001</v>
      </c>
      <c r="CM10" s="10">
        <v>810.08652882999741</v>
      </c>
      <c r="CN10" s="10">
        <v>690.11017010000432</v>
      </c>
      <c r="CO10" s="10">
        <v>668.3671580199989</v>
      </c>
    </row>
    <row r="11" spans="1:93" s="12" customFormat="1" x14ac:dyDescent="0.2">
      <c r="A11" s="9" t="s">
        <v>9</v>
      </c>
      <c r="B11" s="10">
        <v>10.904999999999999</v>
      </c>
      <c r="C11" s="10">
        <v>18.12</v>
      </c>
      <c r="D11" s="10">
        <v>21.562999999999999</v>
      </c>
      <c r="E11" s="10">
        <v>12.081</v>
      </c>
      <c r="F11" s="10">
        <v>41.170999999999999</v>
      </c>
      <c r="G11" s="10">
        <v>29.16</v>
      </c>
      <c r="H11" s="10">
        <v>30.056999999999999</v>
      </c>
      <c r="I11" s="10">
        <v>10.128</v>
      </c>
      <c r="J11" s="10">
        <v>31.766999999999999</v>
      </c>
      <c r="K11" s="10">
        <v>17.911000000000001</v>
      </c>
      <c r="L11" s="10">
        <v>7.4619999999999997</v>
      </c>
      <c r="M11" s="11">
        <v>65.076999999999998</v>
      </c>
      <c r="N11" s="10">
        <v>17.463000000000001</v>
      </c>
      <c r="O11" s="10">
        <v>74.885999999999996</v>
      </c>
      <c r="P11" s="10">
        <v>29.475999999999999</v>
      </c>
      <c r="Q11" s="10">
        <v>7.8150000000000004</v>
      </c>
      <c r="R11" s="10">
        <v>58.000999999999998</v>
      </c>
      <c r="S11" s="10">
        <v>15.087999999999999</v>
      </c>
      <c r="T11" s="10">
        <v>10.952999999999999</v>
      </c>
      <c r="U11" s="10">
        <v>6.5389999999999997</v>
      </c>
      <c r="V11" s="10">
        <v>37.06</v>
      </c>
      <c r="W11" s="10">
        <v>33.972999999999999</v>
      </c>
      <c r="X11" s="10">
        <v>4.8710000000000004</v>
      </c>
      <c r="Y11" s="11">
        <v>28.818555</v>
      </c>
      <c r="Z11" s="10">
        <v>32.344999999999999</v>
      </c>
      <c r="AA11" s="10">
        <v>37.128</v>
      </c>
      <c r="AB11" s="10">
        <v>71.419793999999996</v>
      </c>
      <c r="AC11" s="10">
        <v>41.72</v>
      </c>
      <c r="AD11" s="10">
        <v>48.581314999999996</v>
      </c>
      <c r="AE11" s="10">
        <v>88.961933999999999</v>
      </c>
      <c r="AF11" s="10">
        <v>46.107725000000002</v>
      </c>
      <c r="AG11" s="10">
        <v>37.323421000000003</v>
      </c>
      <c r="AH11" s="10">
        <v>47.162346999999997</v>
      </c>
      <c r="AI11" s="10">
        <v>25.902585999999999</v>
      </c>
      <c r="AJ11" s="10">
        <v>32.975389999999997</v>
      </c>
      <c r="AK11" s="11">
        <v>111.918468</v>
      </c>
      <c r="AL11" s="10">
        <v>46.080987999999998</v>
      </c>
      <c r="AM11" s="10">
        <v>53.019055999999999</v>
      </c>
      <c r="AN11" s="10">
        <v>100.05445400000001</v>
      </c>
      <c r="AO11" s="10">
        <v>135.553101</v>
      </c>
      <c r="AP11" s="10">
        <v>134.039198</v>
      </c>
      <c r="AQ11" s="10">
        <v>172.78055900000001</v>
      </c>
      <c r="AR11" s="10">
        <v>302.99290200000002</v>
      </c>
      <c r="AS11" s="10">
        <v>229.02304000000001</v>
      </c>
      <c r="AT11" s="10">
        <v>174.174477</v>
      </c>
      <c r="AU11" s="10">
        <v>289.510988</v>
      </c>
      <c r="AV11" s="10">
        <v>270.78477199999998</v>
      </c>
      <c r="AW11" s="11">
        <v>312.08256399999999</v>
      </c>
      <c r="AX11" s="10">
        <v>559.82976499999995</v>
      </c>
      <c r="AY11" s="10">
        <v>325.623447</v>
      </c>
      <c r="AZ11" s="10">
        <v>383.75083799999999</v>
      </c>
      <c r="BA11" s="10">
        <v>506.231672</v>
      </c>
      <c r="BB11" s="10">
        <v>398.211862</v>
      </c>
      <c r="BC11" s="10">
        <v>345.56476500000002</v>
      </c>
      <c r="BD11" s="10">
        <v>540.41556600000001</v>
      </c>
      <c r="BE11" s="10">
        <v>327.519274</v>
      </c>
      <c r="BF11" s="10">
        <v>761.29487300000005</v>
      </c>
      <c r="BG11" s="10">
        <v>665.30540199999996</v>
      </c>
      <c r="BH11" s="10">
        <v>314.16400800000002</v>
      </c>
      <c r="BI11" s="11">
        <v>547.299215</v>
      </c>
      <c r="BJ11" s="10">
        <v>1912.622333</v>
      </c>
      <c r="BK11" s="10">
        <v>234.46937</v>
      </c>
      <c r="BL11" s="10">
        <v>999.16292999999996</v>
      </c>
      <c r="BM11" s="10">
        <v>876.826142</v>
      </c>
      <c r="BN11" s="10">
        <v>855.42208400000004</v>
      </c>
      <c r="BO11" s="10">
        <v>624.91597400000001</v>
      </c>
      <c r="BP11" s="10">
        <v>1318.2715330000001</v>
      </c>
      <c r="BQ11" s="10">
        <v>561.29767800000002</v>
      </c>
      <c r="BR11" s="10">
        <v>1328.48858</v>
      </c>
      <c r="BS11" s="10">
        <v>1339.6068009999999</v>
      </c>
      <c r="BT11" s="10">
        <v>880.15916200000004</v>
      </c>
      <c r="BU11" s="11">
        <v>1882.573024</v>
      </c>
      <c r="BV11" s="10">
        <v>1356.6367740000001</v>
      </c>
      <c r="BW11" s="10">
        <v>591.15383899999995</v>
      </c>
      <c r="BX11" s="10">
        <v>1235.921022</v>
      </c>
      <c r="BY11" s="10">
        <v>1384.295404</v>
      </c>
      <c r="BZ11" s="10">
        <v>1527.6056960000001</v>
      </c>
      <c r="CA11" s="10">
        <v>1497.894824</v>
      </c>
      <c r="CB11" s="10">
        <v>1797.7085520000001</v>
      </c>
      <c r="CC11" s="10">
        <v>4224.4526640000004</v>
      </c>
      <c r="CD11" s="10">
        <v>1661.3638940000001</v>
      </c>
      <c r="CE11" s="10">
        <v>2814.72435</v>
      </c>
      <c r="CF11" s="10">
        <v>2681.613793</v>
      </c>
      <c r="CG11" s="11">
        <v>3118.7125289999999</v>
      </c>
      <c r="CH11" s="10">
        <v>2611.0241420000002</v>
      </c>
      <c r="CI11" s="10">
        <v>2976.6684170000008</v>
      </c>
      <c r="CJ11" s="10">
        <v>5169.758323</v>
      </c>
      <c r="CK11" s="10">
        <v>6226.3364810000003</v>
      </c>
      <c r="CL11" s="10">
        <v>4019.7701069999998</v>
      </c>
      <c r="CM11" s="10">
        <v>4442.4095850000003</v>
      </c>
      <c r="CN11" s="10">
        <v>5915.8814089999996</v>
      </c>
      <c r="CO11" s="10">
        <v>6674.3072929999998</v>
      </c>
    </row>
    <row r="12" spans="1:93" s="12" customFormat="1" x14ac:dyDescent="0.2">
      <c r="A12" s="9" t="s">
        <v>27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1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  <c r="X12" s="10" t="s">
        <v>24</v>
      </c>
      <c r="Y12" s="11" t="s">
        <v>24</v>
      </c>
      <c r="Z12" s="10" t="s">
        <v>24</v>
      </c>
      <c r="AA12" s="10" t="s">
        <v>24</v>
      </c>
      <c r="AB12" s="10" t="s">
        <v>24</v>
      </c>
      <c r="AC12" s="10" t="s">
        <v>24</v>
      </c>
      <c r="AD12" s="10" t="s">
        <v>24</v>
      </c>
      <c r="AE12" s="10" t="s">
        <v>24</v>
      </c>
      <c r="AF12" s="10" t="s">
        <v>24</v>
      </c>
      <c r="AG12" s="10" t="s">
        <v>24</v>
      </c>
      <c r="AH12" s="10" t="s">
        <v>24</v>
      </c>
      <c r="AI12" s="10" t="s">
        <v>24</v>
      </c>
      <c r="AJ12" s="10" t="s">
        <v>24</v>
      </c>
      <c r="AK12" s="11" t="s">
        <v>24</v>
      </c>
      <c r="AL12" s="10" t="s">
        <v>24</v>
      </c>
      <c r="AM12" s="10" t="s">
        <v>24</v>
      </c>
      <c r="AN12" s="10" t="s">
        <v>24</v>
      </c>
      <c r="AO12" s="10" t="s">
        <v>24</v>
      </c>
      <c r="AP12" s="10" t="s">
        <v>24</v>
      </c>
      <c r="AQ12" s="10" t="s">
        <v>24</v>
      </c>
      <c r="AR12" s="10" t="s">
        <v>24</v>
      </c>
      <c r="AS12" s="10" t="s">
        <v>24</v>
      </c>
      <c r="AT12" s="10" t="s">
        <v>24</v>
      </c>
      <c r="AU12" s="10" t="s">
        <v>24</v>
      </c>
      <c r="AV12" s="10" t="s">
        <v>24</v>
      </c>
      <c r="AW12" s="11" t="s">
        <v>24</v>
      </c>
      <c r="AX12" s="10" t="s">
        <v>24</v>
      </c>
      <c r="AY12" s="10" t="s">
        <v>24</v>
      </c>
      <c r="AZ12" s="10" t="s">
        <v>24</v>
      </c>
      <c r="BA12" s="10" t="s">
        <v>24</v>
      </c>
      <c r="BB12" s="10" t="s">
        <v>24</v>
      </c>
      <c r="BC12" s="10" t="s">
        <v>24</v>
      </c>
      <c r="BD12" s="10" t="s">
        <v>24</v>
      </c>
      <c r="BE12" s="10" t="s">
        <v>24</v>
      </c>
      <c r="BF12" s="10" t="s">
        <v>24</v>
      </c>
      <c r="BG12" s="10" t="s">
        <v>24</v>
      </c>
      <c r="BH12" s="10" t="s">
        <v>24</v>
      </c>
      <c r="BI12" s="11" t="s">
        <v>24</v>
      </c>
      <c r="BJ12" s="10">
        <v>35.135785970000001</v>
      </c>
      <c r="BK12" s="10">
        <v>15.536544110000001</v>
      </c>
      <c r="BL12" s="10">
        <v>11.94764923</v>
      </c>
      <c r="BM12" s="10">
        <v>170.45711413000001</v>
      </c>
      <c r="BN12" s="10">
        <v>27.000152260000004</v>
      </c>
      <c r="BO12" s="10">
        <v>82.243275459999992</v>
      </c>
      <c r="BP12" s="10">
        <v>142.82750504999998</v>
      </c>
      <c r="BQ12" s="10">
        <v>43.899657359999992</v>
      </c>
      <c r="BR12" s="10">
        <v>93.195003170000007</v>
      </c>
      <c r="BS12" s="10">
        <v>38.946962450000008</v>
      </c>
      <c r="BT12" s="10">
        <v>21.778055649999999</v>
      </c>
      <c r="BU12" s="11">
        <v>8084.2687770799994</v>
      </c>
      <c r="BV12" s="10">
        <v>13.23725514</v>
      </c>
      <c r="BW12" s="10">
        <v>8.2474792699999995</v>
      </c>
      <c r="BX12" s="10">
        <v>23.691697000000005</v>
      </c>
      <c r="BY12" s="10">
        <v>332.61215982000004</v>
      </c>
      <c r="BZ12" s="10">
        <v>67.206715930000001</v>
      </c>
      <c r="CA12" s="10">
        <v>207.71832015000001</v>
      </c>
      <c r="CB12" s="10">
        <v>232.59700255999999</v>
      </c>
      <c r="CC12" s="10">
        <v>97.542368359999998</v>
      </c>
      <c r="CD12" s="10">
        <v>274.09939818999999</v>
      </c>
      <c r="CE12" s="10">
        <v>90.831669729999987</v>
      </c>
      <c r="CF12" s="10">
        <v>35.451441379999999</v>
      </c>
      <c r="CG12" s="11">
        <v>254.93602977</v>
      </c>
      <c r="CH12" s="10">
        <v>30.122651810000001</v>
      </c>
      <c r="CI12" s="10">
        <v>22.839392029999996</v>
      </c>
      <c r="CJ12" s="10">
        <v>108.49174306</v>
      </c>
      <c r="CK12" s="10">
        <v>410.29354231000002</v>
      </c>
      <c r="CL12" s="10">
        <v>354.78623183999997</v>
      </c>
      <c r="CM12" s="10">
        <v>312.97359441000003</v>
      </c>
      <c r="CN12" s="10">
        <v>303.72665343</v>
      </c>
      <c r="CO12" s="10"/>
    </row>
    <row r="13" spans="1:93" s="12" customFormat="1" x14ac:dyDescent="0.2">
      <c r="A13" s="9" t="s">
        <v>10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1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1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1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1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1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1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1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</row>
    <row r="14" spans="1:93" s="12" customFormat="1" x14ac:dyDescent="0.2">
      <c r="A14" s="9" t="s">
        <v>11</v>
      </c>
      <c r="B14" s="10">
        <v>80.035919000000007</v>
      </c>
      <c r="C14" s="10">
        <v>94.645296000000002</v>
      </c>
      <c r="D14" s="10">
        <v>77.762043000000006</v>
      </c>
      <c r="E14" s="10">
        <v>85.005915000000002</v>
      </c>
      <c r="F14" s="10">
        <v>96.858430999999996</v>
      </c>
      <c r="G14" s="10">
        <v>102.00702699999999</v>
      </c>
      <c r="H14" s="10">
        <v>102.49495899999999</v>
      </c>
      <c r="I14" s="10">
        <v>97.063968000000003</v>
      </c>
      <c r="J14" s="10">
        <v>93.194106000000005</v>
      </c>
      <c r="K14" s="10">
        <v>93.442026999999996</v>
      </c>
      <c r="L14" s="10">
        <v>94.077243999999993</v>
      </c>
      <c r="M14" s="11">
        <v>105.300825</v>
      </c>
      <c r="N14" s="10">
        <v>136.04014599999999</v>
      </c>
      <c r="O14" s="10">
        <v>101.535399</v>
      </c>
      <c r="P14" s="10">
        <v>78.544270999999995</v>
      </c>
      <c r="Q14" s="10">
        <v>19.850200999999998</v>
      </c>
      <c r="R14" s="10">
        <v>49.707875999999999</v>
      </c>
      <c r="S14" s="10">
        <v>82.052865999999995</v>
      </c>
      <c r="T14" s="10">
        <v>79.947627999999995</v>
      </c>
      <c r="U14" s="10">
        <v>80.378079</v>
      </c>
      <c r="V14" s="10">
        <v>73.305831999999995</v>
      </c>
      <c r="W14" s="10">
        <v>84.085178999999997</v>
      </c>
      <c r="X14" s="10">
        <v>83.042796999999993</v>
      </c>
      <c r="Y14" s="11">
        <v>117.480245</v>
      </c>
      <c r="Z14" s="10">
        <v>103.757789</v>
      </c>
      <c r="AA14" s="10">
        <v>105.38773</v>
      </c>
      <c r="AB14" s="10">
        <v>151.79907299999999</v>
      </c>
      <c r="AC14" s="10">
        <v>138.4</v>
      </c>
      <c r="AD14" s="10">
        <v>118.527315</v>
      </c>
      <c r="AE14" s="10">
        <v>148.27488399999999</v>
      </c>
      <c r="AF14" s="10">
        <v>139.267763</v>
      </c>
      <c r="AG14" s="10">
        <v>145.46672799999999</v>
      </c>
      <c r="AH14" s="10">
        <v>147.718569</v>
      </c>
      <c r="AI14" s="10">
        <v>136.149913</v>
      </c>
      <c r="AJ14" s="10">
        <v>183.98450600000001</v>
      </c>
      <c r="AK14" s="11">
        <v>178.57196099999999</v>
      </c>
      <c r="AL14" s="10">
        <v>179.01338899999999</v>
      </c>
      <c r="AM14" s="10">
        <v>223.999109</v>
      </c>
      <c r="AN14" s="10">
        <v>218.44504499999999</v>
      </c>
      <c r="AO14" s="10">
        <v>233.42059092</v>
      </c>
      <c r="AP14" s="10">
        <v>260.26932499999998</v>
      </c>
      <c r="AQ14" s="10">
        <v>243.07367500000001</v>
      </c>
      <c r="AR14" s="10">
        <v>187.55174099999999</v>
      </c>
      <c r="AS14" s="10">
        <v>214.20965699999999</v>
      </c>
      <c r="AT14" s="10">
        <v>220.74107699999999</v>
      </c>
      <c r="AU14" s="10">
        <v>203.839854</v>
      </c>
      <c r="AV14" s="10">
        <v>221.13876999999999</v>
      </c>
      <c r="AW14" s="11">
        <v>254.193375</v>
      </c>
      <c r="AX14" s="10">
        <v>263.25290699999999</v>
      </c>
      <c r="AY14" s="10">
        <v>294.56465700000001</v>
      </c>
      <c r="AZ14" s="10">
        <v>429.97347400000001</v>
      </c>
      <c r="BA14" s="10">
        <v>400.01790499999998</v>
      </c>
      <c r="BB14" s="10">
        <v>474.66753999999997</v>
      </c>
      <c r="BC14" s="10">
        <v>449.92555599999997</v>
      </c>
      <c r="BD14" s="10">
        <v>344.58230400000002</v>
      </c>
      <c r="BE14" s="10">
        <v>409.197112</v>
      </c>
      <c r="BF14" s="10">
        <v>369.91397799999999</v>
      </c>
      <c r="BG14" s="10">
        <v>386.61208800000003</v>
      </c>
      <c r="BH14" s="10">
        <v>405.52659299999999</v>
      </c>
      <c r="BI14" s="11">
        <v>609.86088199999995</v>
      </c>
      <c r="BJ14" s="10">
        <v>650.47272099999998</v>
      </c>
      <c r="BK14" s="10">
        <v>758.98935900000004</v>
      </c>
      <c r="BL14" s="10">
        <v>837.07032700000002</v>
      </c>
      <c r="BM14" s="10">
        <v>896.01226599999995</v>
      </c>
      <c r="BN14" s="10">
        <v>1135.547918</v>
      </c>
      <c r="BO14" s="10">
        <v>976.20117300000004</v>
      </c>
      <c r="BP14" s="10">
        <v>1015.183081</v>
      </c>
      <c r="BQ14" s="10">
        <v>1045.434342</v>
      </c>
      <c r="BR14" s="10">
        <v>1259.7173499999999</v>
      </c>
      <c r="BS14" s="10">
        <v>1026.955303</v>
      </c>
      <c r="BT14" s="10">
        <v>1060.5769749999999</v>
      </c>
      <c r="BU14" s="11">
        <v>1353.7900460000001</v>
      </c>
      <c r="BV14" s="10">
        <v>1377.9090269999999</v>
      </c>
      <c r="BW14" s="10">
        <v>2636.8306320000002</v>
      </c>
      <c r="BX14" s="10">
        <v>1996.8789859999999</v>
      </c>
      <c r="BY14" s="10">
        <v>2208.6576989999999</v>
      </c>
      <c r="BZ14" s="10">
        <v>2139.273091</v>
      </c>
      <c r="CA14" s="10">
        <v>2045.211742</v>
      </c>
      <c r="CB14" s="10">
        <v>2075.202053</v>
      </c>
      <c r="CC14" s="10">
        <v>2043.3590350999998</v>
      </c>
      <c r="CD14" s="10">
        <v>2121.2036443000002</v>
      </c>
      <c r="CE14" s="10">
        <v>2165.9700954</v>
      </c>
      <c r="CF14" s="10">
        <v>1963.3777951</v>
      </c>
      <c r="CG14" s="11">
        <v>2766.8723009999999</v>
      </c>
      <c r="CH14" s="10">
        <v>2176.7172354999998</v>
      </c>
      <c r="CI14" s="10">
        <v>2684.6010424999999</v>
      </c>
      <c r="CJ14" s="10">
        <v>3028.0016990999998</v>
      </c>
      <c r="CK14" s="10">
        <v>3051.9409213000004</v>
      </c>
      <c r="CL14" s="10">
        <v>2829.1280791999998</v>
      </c>
      <c r="CM14" s="10">
        <v>3299.3397793000004</v>
      </c>
      <c r="CN14" s="10">
        <v>2906.8697694000002</v>
      </c>
      <c r="CO14" s="10">
        <v>3233.9079776999997</v>
      </c>
    </row>
    <row r="15" spans="1:93" s="12" customFormat="1" x14ac:dyDescent="0.2">
      <c r="A15" s="9" t="s">
        <v>12</v>
      </c>
      <c r="B15" s="10">
        <v>3.3396050000000002</v>
      </c>
      <c r="C15" s="10">
        <v>3.5046520000000001</v>
      </c>
      <c r="D15" s="10">
        <v>3.2590949999999999</v>
      </c>
      <c r="E15" s="10">
        <v>3.8420999999999998</v>
      </c>
      <c r="F15" s="10">
        <v>4.0994650000000004</v>
      </c>
      <c r="G15" s="10">
        <v>3.533563</v>
      </c>
      <c r="H15" s="10">
        <v>3.9831080000000001</v>
      </c>
      <c r="I15" s="10">
        <v>4.4393440000000002</v>
      </c>
      <c r="J15" s="10">
        <v>5.3266169999999997</v>
      </c>
      <c r="K15" s="10">
        <v>5.5696770000000004</v>
      </c>
      <c r="L15" s="10">
        <v>5.667783</v>
      </c>
      <c r="M15" s="11">
        <v>5.531485</v>
      </c>
      <c r="N15" s="10">
        <v>4.8079694999999996</v>
      </c>
      <c r="O15" s="10">
        <v>4.2244319699999995</v>
      </c>
      <c r="P15" s="10">
        <v>3.65986564</v>
      </c>
      <c r="Q15" s="10">
        <v>2.27381286</v>
      </c>
      <c r="R15" s="10">
        <v>4.1214754100000004</v>
      </c>
      <c r="S15" s="10">
        <v>4.1439533199999996</v>
      </c>
      <c r="T15" s="10">
        <v>4.94644862</v>
      </c>
      <c r="U15" s="10">
        <v>6.5268916399999997</v>
      </c>
      <c r="V15" s="10">
        <v>7.5638792000000006</v>
      </c>
      <c r="W15" s="10">
        <v>407.32740124999998</v>
      </c>
      <c r="X15" s="10">
        <v>22.870659239999998</v>
      </c>
      <c r="Y15" s="11">
        <v>24.194148300000002</v>
      </c>
      <c r="Z15" s="10">
        <v>11.859284519999999</v>
      </c>
      <c r="AA15" s="10">
        <v>12.569390090000001</v>
      </c>
      <c r="AB15" s="10">
        <v>15.72343184</v>
      </c>
      <c r="AC15" s="10">
        <v>17.78</v>
      </c>
      <c r="AD15" s="10">
        <v>14.9662922</v>
      </c>
      <c r="AE15" s="10">
        <v>20.930229420000003</v>
      </c>
      <c r="AF15" s="10">
        <v>19.04802857</v>
      </c>
      <c r="AG15" s="10">
        <v>22.157719879999998</v>
      </c>
      <c r="AH15" s="10">
        <v>23.516627700000001</v>
      </c>
      <c r="AI15" s="10">
        <v>23.881313649999999</v>
      </c>
      <c r="AJ15" s="10">
        <v>25.16414529</v>
      </c>
      <c r="AK15" s="11">
        <v>38.360204960000004</v>
      </c>
      <c r="AL15" s="10">
        <v>25.839186640000001</v>
      </c>
      <c r="AM15" s="10">
        <v>28.279582189999999</v>
      </c>
      <c r="AN15" s="10">
        <v>26.860089779999999</v>
      </c>
      <c r="AO15" s="10">
        <v>31.195165209999995</v>
      </c>
      <c r="AP15" s="10">
        <v>27.532389390000002</v>
      </c>
      <c r="AQ15" s="10">
        <v>33.5531559</v>
      </c>
      <c r="AR15" s="10">
        <v>33.926877810000008</v>
      </c>
      <c r="AS15" s="10">
        <v>40.803856889999992</v>
      </c>
      <c r="AT15" s="10">
        <v>55.568078729999996</v>
      </c>
      <c r="AU15" s="10">
        <v>43.850453220000006</v>
      </c>
      <c r="AV15" s="10">
        <v>48.054146189999997</v>
      </c>
      <c r="AW15" s="11">
        <v>54.16040915</v>
      </c>
      <c r="AX15" s="10">
        <v>41.4</v>
      </c>
      <c r="AY15" s="10">
        <v>38.799999999999997</v>
      </c>
      <c r="AZ15" s="10">
        <v>53.9</v>
      </c>
      <c r="BA15" s="10">
        <v>47.1</v>
      </c>
      <c r="BB15" s="10">
        <v>48</v>
      </c>
      <c r="BC15" s="10">
        <v>57.9</v>
      </c>
      <c r="BD15" s="10">
        <v>63.4</v>
      </c>
      <c r="BE15" s="10">
        <v>77.099999999999994</v>
      </c>
      <c r="BF15" s="10">
        <v>77.400000000000006</v>
      </c>
      <c r="BG15" s="10">
        <v>75.8</v>
      </c>
      <c r="BH15" s="10">
        <v>92.1</v>
      </c>
      <c r="BI15" s="11">
        <v>97.5</v>
      </c>
      <c r="BJ15" s="10">
        <v>96.94234234000001</v>
      </c>
      <c r="BK15" s="10">
        <v>118.48227534</v>
      </c>
      <c r="BL15" s="10">
        <v>149.33173807</v>
      </c>
      <c r="BM15" s="10">
        <v>165.26016104999999</v>
      </c>
      <c r="BN15" s="10">
        <v>223.25174915000002</v>
      </c>
      <c r="BO15" s="10">
        <v>203.60553981000001</v>
      </c>
      <c r="BP15" s="10">
        <v>268.81962480000004</v>
      </c>
      <c r="BQ15" s="10">
        <v>275.12897405998956</v>
      </c>
      <c r="BR15" s="10">
        <v>253.05964464999852</v>
      </c>
      <c r="BS15" s="10">
        <v>228.61880588001804</v>
      </c>
      <c r="BT15" s="10">
        <v>213.75354839999636</v>
      </c>
      <c r="BU15" s="11">
        <v>241.91886107999017</v>
      </c>
      <c r="BV15" s="10">
        <v>249.92982167999435</v>
      </c>
      <c r="BW15" s="10">
        <v>257.84385741999722</v>
      </c>
      <c r="BX15" s="10">
        <v>246.17860112000199</v>
      </c>
      <c r="BY15" s="10">
        <v>258.98859331000131</v>
      </c>
      <c r="BZ15" s="10">
        <v>323.571680870009</v>
      </c>
      <c r="CA15" s="10">
        <v>301.22805834001338</v>
      </c>
      <c r="CB15" s="10">
        <v>327.47511761001078</v>
      </c>
      <c r="CC15" s="10">
        <v>297.32589559000917</v>
      </c>
      <c r="CD15" s="10">
        <v>275.49474273002124</v>
      </c>
      <c r="CE15" s="10">
        <v>299.61939074999827</v>
      </c>
      <c r="CF15" s="10">
        <v>241.71762455999851</v>
      </c>
      <c r="CG15" s="11">
        <v>296.21638828000869</v>
      </c>
      <c r="CH15" s="10">
        <v>233.74564030997863</v>
      </c>
      <c r="CI15" s="10">
        <v>265.69240626999817</v>
      </c>
      <c r="CJ15" s="10">
        <v>248.15113673002634</v>
      </c>
      <c r="CK15" s="10">
        <v>203.73127498000395</v>
      </c>
      <c r="CL15" s="10">
        <v>259.02225813998666</v>
      </c>
      <c r="CM15" s="10">
        <v>228.38536792999366</v>
      </c>
      <c r="CN15" s="10">
        <v>266.11139819001255</v>
      </c>
      <c r="CO15" s="10">
        <v>356.53446640000038</v>
      </c>
    </row>
    <row r="16" spans="1:93" s="12" customFormat="1" x14ac:dyDescent="0.2">
      <c r="A16" s="9" t="s">
        <v>13</v>
      </c>
      <c r="B16" s="10">
        <v>4.7871332799999999</v>
      </c>
      <c r="C16" s="10">
        <v>5.4723077900000003</v>
      </c>
      <c r="D16" s="10">
        <v>4.1339404599999998</v>
      </c>
      <c r="E16" s="10">
        <v>2.7891474600000001</v>
      </c>
      <c r="F16" s="10">
        <v>4.1624424100000006</v>
      </c>
      <c r="G16" s="10">
        <v>3.44629561</v>
      </c>
      <c r="H16" s="10">
        <v>5.0956599100000002</v>
      </c>
      <c r="I16" s="10">
        <v>12.452017769999999</v>
      </c>
      <c r="J16" s="10">
        <v>5.8919552599999996</v>
      </c>
      <c r="K16" s="10">
        <v>3.9846047999999996</v>
      </c>
      <c r="L16" s="10">
        <v>3.8418239600000001</v>
      </c>
      <c r="M16" s="11">
        <v>3.15556459</v>
      </c>
      <c r="N16" s="10">
        <v>6.3929354299999996</v>
      </c>
      <c r="O16" s="10">
        <v>3.40381782</v>
      </c>
      <c r="P16" s="10">
        <v>2.2955202999999997</v>
      </c>
      <c r="Q16" s="10">
        <v>2.1369281099999999</v>
      </c>
      <c r="R16" s="10">
        <v>1.32546922</v>
      </c>
      <c r="S16" s="10">
        <v>2.2726474799999998</v>
      </c>
      <c r="T16" s="10">
        <v>7.6098689000000004</v>
      </c>
      <c r="U16" s="10">
        <v>1.5676288300000001</v>
      </c>
      <c r="V16" s="10">
        <v>6.7047732999999994</v>
      </c>
      <c r="W16" s="10">
        <v>3.0193618600000001</v>
      </c>
      <c r="X16" s="10">
        <v>16.716322179999999</v>
      </c>
      <c r="Y16" s="11">
        <v>7.1629155099999995</v>
      </c>
      <c r="Z16" s="10">
        <v>8.34999863</v>
      </c>
      <c r="AA16" s="10">
        <v>6.5157526799999994</v>
      </c>
      <c r="AB16" s="10">
        <v>8.8051461300000007</v>
      </c>
      <c r="AC16" s="10">
        <v>6.7277098099999995</v>
      </c>
      <c r="AD16" s="10">
        <v>6.4383256700000002</v>
      </c>
      <c r="AE16" s="10">
        <v>7.8144876700000001</v>
      </c>
      <c r="AF16" s="10">
        <v>9.1132044700000012</v>
      </c>
      <c r="AG16" s="10">
        <v>14.06470459</v>
      </c>
      <c r="AH16" s="10">
        <v>12.11203145</v>
      </c>
      <c r="AI16" s="10">
        <v>8.3547624500000008</v>
      </c>
      <c r="AJ16" s="10">
        <v>16.9608159</v>
      </c>
      <c r="AK16" s="11">
        <v>12.44000149</v>
      </c>
      <c r="AL16" s="10">
        <v>11.90653195</v>
      </c>
      <c r="AM16" s="10">
        <v>19.897932260000001</v>
      </c>
      <c r="AN16" s="10">
        <v>21.519351239999999</v>
      </c>
      <c r="AO16" s="10">
        <v>17.802026680000001</v>
      </c>
      <c r="AP16" s="10">
        <v>18.554893710000002</v>
      </c>
      <c r="AQ16" s="10">
        <v>21.827289109999999</v>
      </c>
      <c r="AR16" s="10">
        <v>18.711686140000001</v>
      </c>
      <c r="AS16" s="10">
        <v>23.056568110000001</v>
      </c>
      <c r="AT16" s="10">
        <v>20.738907699999999</v>
      </c>
      <c r="AU16" s="10">
        <v>24.45869751</v>
      </c>
      <c r="AV16" s="10">
        <v>18.879243750000001</v>
      </c>
      <c r="AW16" s="11">
        <v>22.61238891</v>
      </c>
      <c r="AX16" s="10">
        <v>21.996263579999997</v>
      </c>
      <c r="AY16" s="10">
        <v>42.52656605</v>
      </c>
      <c r="AZ16" s="10">
        <v>39.806096619999998</v>
      </c>
      <c r="BA16" s="10">
        <v>51.122550930000003</v>
      </c>
      <c r="BB16" s="10">
        <v>55.461081950000001</v>
      </c>
      <c r="BC16" s="10">
        <v>49.66698126</v>
      </c>
      <c r="BD16" s="10">
        <v>48.981614060000005</v>
      </c>
      <c r="BE16" s="10">
        <v>77.666127410000001</v>
      </c>
      <c r="BF16" s="10">
        <v>57.725222330000001</v>
      </c>
      <c r="BG16" s="10">
        <v>60.383112700000005</v>
      </c>
      <c r="BH16" s="10">
        <v>62.039577729999998</v>
      </c>
      <c r="BI16" s="11">
        <v>61.965359670000005</v>
      </c>
      <c r="BJ16" s="10">
        <v>60.450083289993927</v>
      </c>
      <c r="BK16" s="10">
        <v>121.09156026001438</v>
      </c>
      <c r="BL16" s="10">
        <v>115.08685967999918</v>
      </c>
      <c r="BM16" s="10">
        <v>133.53211226000002</v>
      </c>
      <c r="BN16" s="10">
        <v>244.21950781999999</v>
      </c>
      <c r="BO16" s="10">
        <v>129.83257483</v>
      </c>
      <c r="BP16" s="10">
        <v>173.13197471999999</v>
      </c>
      <c r="BQ16" s="10">
        <v>240.23128989</v>
      </c>
      <c r="BR16" s="10">
        <v>257.18024962999999</v>
      </c>
      <c r="BS16" s="10">
        <v>264.36405733000004</v>
      </c>
      <c r="BT16" s="10">
        <v>287.35754105000001</v>
      </c>
      <c r="BU16" s="11">
        <v>205.35382203999998</v>
      </c>
      <c r="BV16" s="10">
        <v>239.90603297000001</v>
      </c>
      <c r="BW16" s="10">
        <v>229.77192868</v>
      </c>
      <c r="BX16" s="10">
        <v>286.38884992000004</v>
      </c>
      <c r="BY16" s="10">
        <v>353.47060983999995</v>
      </c>
      <c r="BZ16" s="10">
        <v>370.68313473000001</v>
      </c>
      <c r="CA16" s="10">
        <v>721.29551065999999</v>
      </c>
      <c r="CB16" s="10">
        <v>398.66909663999996</v>
      </c>
      <c r="CC16" s="10">
        <v>297.47624695999997</v>
      </c>
      <c r="CD16" s="10">
        <v>587.66376859000002</v>
      </c>
      <c r="CE16" s="10">
        <v>327.43666973000001</v>
      </c>
      <c r="CF16" s="10">
        <v>376.98531868000003</v>
      </c>
      <c r="CG16" s="11">
        <v>589.20991865999997</v>
      </c>
      <c r="CH16" s="10">
        <v>382.56960196</v>
      </c>
      <c r="CI16" s="10">
        <v>1072.2609741599999</v>
      </c>
      <c r="CJ16" s="10">
        <v>738.77283909000005</v>
      </c>
      <c r="CK16" s="10">
        <v>1389.7689973800002</v>
      </c>
      <c r="CL16" s="10">
        <v>469.90074005000002</v>
      </c>
      <c r="CM16" s="10">
        <v>834.8594350599999</v>
      </c>
      <c r="CN16" s="10">
        <v>655.64851644000009</v>
      </c>
      <c r="CO16" s="10"/>
    </row>
    <row r="17" spans="1:93" s="12" customFormat="1" x14ac:dyDescent="0.2">
      <c r="A17" s="9" t="s">
        <v>14</v>
      </c>
      <c r="B17" s="10">
        <v>19.343885620000002</v>
      </c>
      <c r="C17" s="10">
        <v>20.313353320000001</v>
      </c>
      <c r="D17" s="10">
        <v>21.981116699999998</v>
      </c>
      <c r="E17" s="10">
        <v>22.989688210000001</v>
      </c>
      <c r="F17" s="10">
        <v>23.908918489999998</v>
      </c>
      <c r="G17" s="10">
        <v>24.416453449999999</v>
      </c>
      <c r="H17" s="10">
        <v>25.54060922</v>
      </c>
      <c r="I17" s="10">
        <v>25.01540237</v>
      </c>
      <c r="J17" s="10">
        <v>25.727045329999999</v>
      </c>
      <c r="K17" s="10">
        <v>31.869596170000001</v>
      </c>
      <c r="L17" s="10">
        <v>28.144007590000001</v>
      </c>
      <c r="M17" s="11">
        <v>35.890700559999999</v>
      </c>
      <c r="N17" s="10">
        <v>28.48715473</v>
      </c>
      <c r="O17" s="10">
        <v>24.686795420000003</v>
      </c>
      <c r="P17" s="10">
        <v>21.908099120000003</v>
      </c>
      <c r="Q17" s="10">
        <v>5.0531963300000005</v>
      </c>
      <c r="R17" s="10">
        <v>7.8474872400000004</v>
      </c>
      <c r="S17" s="10">
        <v>10.71591581</v>
      </c>
      <c r="T17" s="10">
        <v>14.36654006</v>
      </c>
      <c r="U17" s="10">
        <v>16.720518999999999</v>
      </c>
      <c r="V17" s="10">
        <v>19.017139359999998</v>
      </c>
      <c r="W17" s="10">
        <v>26.792185370000002</v>
      </c>
      <c r="X17" s="10">
        <v>30.296581239999998</v>
      </c>
      <c r="Y17" s="11">
        <v>41.984777090000001</v>
      </c>
      <c r="Z17" s="10">
        <v>37.0523922</v>
      </c>
      <c r="AA17" s="10">
        <v>30.89929618</v>
      </c>
      <c r="AB17" s="10">
        <v>50.832139359999999</v>
      </c>
      <c r="AC17" s="10">
        <v>51.63</v>
      </c>
      <c r="AD17" s="10">
        <v>48.920803119999995</v>
      </c>
      <c r="AE17" s="10">
        <v>49.887349579999999</v>
      </c>
      <c r="AF17" s="10">
        <v>50.529981729999996</v>
      </c>
      <c r="AG17" s="10">
        <v>55.13795803</v>
      </c>
      <c r="AH17" s="10">
        <v>78.578259200000005</v>
      </c>
      <c r="AI17" s="10">
        <v>72.093420890000004</v>
      </c>
      <c r="AJ17" s="10">
        <v>86.555047370000011</v>
      </c>
      <c r="AK17" s="11">
        <v>84.165661650000004</v>
      </c>
      <c r="AL17" s="10">
        <v>72.88328537000001</v>
      </c>
      <c r="AM17" s="10">
        <v>74.344161150000005</v>
      </c>
      <c r="AN17" s="10">
        <v>101.98357353</v>
      </c>
      <c r="AO17" s="10">
        <v>108.68777075</v>
      </c>
      <c r="AP17" s="10">
        <v>103.12350179000001</v>
      </c>
      <c r="AQ17" s="10">
        <v>108.36716598000001</v>
      </c>
      <c r="AR17" s="10">
        <v>118.31484569</v>
      </c>
      <c r="AS17" s="10">
        <v>146.49561227000001</v>
      </c>
      <c r="AT17" s="10">
        <v>166.95234640999999</v>
      </c>
      <c r="AU17" s="10">
        <v>158.6386296</v>
      </c>
      <c r="AV17" s="10">
        <v>196.79756325</v>
      </c>
      <c r="AW17" s="11">
        <v>204.37265395</v>
      </c>
      <c r="AX17" s="10">
        <v>201.78550375</v>
      </c>
      <c r="AY17" s="10">
        <v>156.52355903999998</v>
      </c>
      <c r="AZ17" s="10">
        <v>241.04990562</v>
      </c>
      <c r="BA17" s="10">
        <v>193.95603577</v>
      </c>
      <c r="BB17" s="10">
        <v>264.57861115999998</v>
      </c>
      <c r="BC17" s="10">
        <v>313.58780948999998</v>
      </c>
      <c r="BD17" s="10">
        <v>375.91780592999999</v>
      </c>
      <c r="BE17" s="10">
        <v>373.88291204000001</v>
      </c>
      <c r="BF17" s="10">
        <v>391.09955391000005</v>
      </c>
      <c r="BG17" s="10">
        <v>417.80105250000003</v>
      </c>
      <c r="BH17" s="10">
        <v>467.48906277999998</v>
      </c>
      <c r="BI17" s="11">
        <v>529.23613963000003</v>
      </c>
      <c r="BJ17" s="10">
        <v>633.80681829999992</v>
      </c>
      <c r="BK17" s="10">
        <v>708.62365239999997</v>
      </c>
      <c r="BL17" s="10">
        <v>927.32913464000001</v>
      </c>
      <c r="BM17" s="10">
        <v>1021.8904838</v>
      </c>
      <c r="BN17" s="10">
        <v>896.98937120000005</v>
      </c>
      <c r="BO17" s="10">
        <v>887.92639014999997</v>
      </c>
      <c r="BP17" s="10">
        <v>1144.1569958399998</v>
      </c>
      <c r="BQ17" s="10">
        <v>997.28647595000007</v>
      </c>
      <c r="BR17" s="10">
        <v>1049.6800897099999</v>
      </c>
      <c r="BS17" s="10">
        <v>1186.46045888</v>
      </c>
      <c r="BT17" s="10">
        <v>857.33666073000006</v>
      </c>
      <c r="BU17" s="11">
        <v>898.50519484000006</v>
      </c>
      <c r="BV17" s="10">
        <v>841.01667758000008</v>
      </c>
      <c r="BW17" s="10">
        <v>894.01646866999999</v>
      </c>
      <c r="BX17" s="10">
        <v>880.98500661000003</v>
      </c>
      <c r="BY17" s="10">
        <v>1103.9863551199999</v>
      </c>
      <c r="BZ17" s="10">
        <v>1101.32275841</v>
      </c>
      <c r="CA17" s="10">
        <v>2185.1001518899998</v>
      </c>
      <c r="CB17" s="10">
        <v>2077.1180484300003</v>
      </c>
      <c r="CC17" s="10">
        <v>2470.6964929400001</v>
      </c>
      <c r="CD17" s="10">
        <v>2211.6600633899998</v>
      </c>
      <c r="CE17" s="10">
        <v>2533.8292834699996</v>
      </c>
      <c r="CF17" s="10">
        <v>1865.20639142</v>
      </c>
      <c r="CG17" s="11">
        <v>2399.41744612</v>
      </c>
      <c r="CH17" s="10">
        <v>4094.6443495600001</v>
      </c>
      <c r="CI17" s="10">
        <v>2160.92178668</v>
      </c>
      <c r="CJ17" s="10">
        <v>2520.7867036500002</v>
      </c>
      <c r="CK17" s="10">
        <v>2715.7373444899999</v>
      </c>
      <c r="CL17" s="10">
        <v>2506.2913348500001</v>
      </c>
      <c r="CM17" s="10">
        <v>2867.99685279</v>
      </c>
      <c r="CN17" s="10">
        <v>3649.9418123200003</v>
      </c>
      <c r="CO17" s="10">
        <v>2855.4593585399998</v>
      </c>
    </row>
    <row r="18" spans="1:93" s="12" customFormat="1" x14ac:dyDescent="0.2">
      <c r="A18" s="9" t="s">
        <v>15</v>
      </c>
      <c r="B18" s="10">
        <v>55.690762740000004</v>
      </c>
      <c r="C18" s="10">
        <v>40.466355020000002</v>
      </c>
      <c r="D18" s="10">
        <v>42.769305860000003</v>
      </c>
      <c r="E18" s="10">
        <v>46.247085999999996</v>
      </c>
      <c r="F18" s="10">
        <v>49.127879000000007</v>
      </c>
      <c r="G18" s="10">
        <v>53.564244549999998</v>
      </c>
      <c r="H18" s="10">
        <v>66.438293999999999</v>
      </c>
      <c r="I18" s="10">
        <v>58.674191729999997</v>
      </c>
      <c r="J18" s="10">
        <v>48.886515539999998</v>
      </c>
      <c r="K18" s="10">
        <v>54.166383439999997</v>
      </c>
      <c r="L18" s="10">
        <v>54.727457300000005</v>
      </c>
      <c r="M18" s="11">
        <v>54.353860139999995</v>
      </c>
      <c r="N18" s="10">
        <v>8.8906458300000004</v>
      </c>
      <c r="O18" s="10">
        <v>7.0676818171000004</v>
      </c>
      <c r="P18" s="10">
        <v>3.9335106300000002</v>
      </c>
      <c r="Q18" s="10">
        <v>4.4145327499999993</v>
      </c>
      <c r="R18" s="10">
        <v>6.6671516400000002</v>
      </c>
      <c r="S18" s="10">
        <v>2.9818215399999999</v>
      </c>
      <c r="T18" s="10">
        <v>4.6407018100000013</v>
      </c>
      <c r="U18" s="10">
        <v>3.8427727900000002</v>
      </c>
      <c r="V18" s="10">
        <v>2.5891747699999996</v>
      </c>
      <c r="W18" s="10">
        <v>4.5354809900000008</v>
      </c>
      <c r="X18" s="10">
        <v>2.29335449</v>
      </c>
      <c r="Y18" s="11">
        <v>2.9421425999999995</v>
      </c>
      <c r="Z18" s="10">
        <v>4.1741727499999994</v>
      </c>
      <c r="AA18" s="10">
        <v>3.3416165399999995</v>
      </c>
      <c r="AB18" s="10">
        <v>3.01702249</v>
      </c>
      <c r="AC18" s="10">
        <v>3.0116423999999999</v>
      </c>
      <c r="AD18" s="10">
        <v>3.29448528</v>
      </c>
      <c r="AE18" s="10">
        <v>2.3995458749999998</v>
      </c>
      <c r="AF18" s="10">
        <v>2.0481235400000002</v>
      </c>
      <c r="AG18" s="10">
        <v>2.1673280000000004</v>
      </c>
      <c r="AH18" s="10">
        <v>2.52227026</v>
      </c>
      <c r="AI18" s="10">
        <v>3.2062667699999996</v>
      </c>
      <c r="AJ18" s="10">
        <v>2.0331977399999999</v>
      </c>
      <c r="AK18" s="11">
        <v>2.09868123</v>
      </c>
      <c r="AL18" s="10">
        <v>1.8062584500000001</v>
      </c>
      <c r="AM18" s="10">
        <v>2.0513127300000003</v>
      </c>
      <c r="AN18" s="10">
        <v>2.0449263499999999</v>
      </c>
      <c r="AO18" s="10">
        <v>1.6545102899999997</v>
      </c>
      <c r="AP18" s="10">
        <v>1.71271358</v>
      </c>
      <c r="AQ18" s="10">
        <v>1.73405655</v>
      </c>
      <c r="AR18" s="10">
        <v>1.39828694</v>
      </c>
      <c r="AS18" s="10">
        <v>1.62844655</v>
      </c>
      <c r="AT18" s="10">
        <v>1.48461248</v>
      </c>
      <c r="AU18" s="10">
        <v>1.38611412</v>
      </c>
      <c r="AV18" s="10">
        <v>1.7084460000000001</v>
      </c>
      <c r="AW18" s="11">
        <v>1.4965141099999999</v>
      </c>
      <c r="AX18" s="10">
        <v>1.25380399</v>
      </c>
      <c r="AY18" s="10">
        <v>1.04284154</v>
      </c>
      <c r="AZ18" s="10">
        <v>1.9930240799999999</v>
      </c>
      <c r="BA18" s="10">
        <v>1.6379690099999999</v>
      </c>
      <c r="BB18" s="10">
        <v>2.6819937400000002</v>
      </c>
      <c r="BC18" s="10">
        <v>1.5669829</v>
      </c>
      <c r="BD18" s="10">
        <v>1.4814809300000003</v>
      </c>
      <c r="BE18" s="10">
        <v>2.1267651900000004</v>
      </c>
      <c r="BF18" s="10">
        <v>1.9441964200000001</v>
      </c>
      <c r="BG18" s="10">
        <v>1.4870136199999999</v>
      </c>
      <c r="BH18" s="10">
        <v>1.94675394</v>
      </c>
      <c r="BI18" s="11">
        <v>1.4536326800000001</v>
      </c>
      <c r="BJ18" s="10">
        <v>1.24935828</v>
      </c>
      <c r="BK18" s="10">
        <v>1.2213829600000001</v>
      </c>
      <c r="BL18" s="10">
        <v>1.5002971000000001</v>
      </c>
      <c r="BM18" s="10">
        <v>1.16074257</v>
      </c>
      <c r="BN18" s="10">
        <v>4.7833599099999997</v>
      </c>
      <c r="BO18" s="10">
        <v>1.4858212200000001</v>
      </c>
      <c r="BP18" s="10">
        <v>1.73716179</v>
      </c>
      <c r="BQ18" s="10">
        <v>1.2997878599999999</v>
      </c>
      <c r="BR18" s="10">
        <v>1.4497691100000001</v>
      </c>
      <c r="BS18" s="10">
        <v>1.7853724799999999</v>
      </c>
      <c r="BT18" s="10">
        <v>11.84264391</v>
      </c>
      <c r="BU18" s="11">
        <v>-8.7689055599999985</v>
      </c>
      <c r="BV18" s="10">
        <v>1.63931011</v>
      </c>
      <c r="BW18" s="10">
        <v>1.3551333700000001</v>
      </c>
      <c r="BX18" s="10">
        <v>1.6753175500000002</v>
      </c>
      <c r="BY18" s="10">
        <v>1.55456046</v>
      </c>
      <c r="BZ18" s="10">
        <v>1.0305041699999999</v>
      </c>
      <c r="CA18" s="10">
        <v>1.08234075</v>
      </c>
      <c r="CB18" s="10">
        <v>0.84832591000000002</v>
      </c>
      <c r="CC18" s="10">
        <v>0.96073565999999999</v>
      </c>
      <c r="CD18" s="10">
        <v>0.96073565999999999</v>
      </c>
      <c r="CE18" s="10">
        <v>1.2527467999999999</v>
      </c>
      <c r="CF18" s="10">
        <v>1.3238249900000001</v>
      </c>
      <c r="CG18" s="11">
        <v>9.3474370000000001E-2</v>
      </c>
      <c r="CH18" s="10">
        <v>5.1807660000000005E-2</v>
      </c>
      <c r="CI18" s="10">
        <v>6.8357299999999999E-3</v>
      </c>
      <c r="CJ18" s="10">
        <v>2.6299960000000001E-2</v>
      </c>
      <c r="CK18" s="10">
        <v>3.2990829999999999E-2</v>
      </c>
      <c r="CL18" s="10">
        <v>7.1507200000000002E-3</v>
      </c>
      <c r="CM18" s="10">
        <v>1.882166E-2</v>
      </c>
      <c r="CN18" s="10"/>
      <c r="CO18" s="10"/>
    </row>
    <row r="19" spans="1:93" s="12" customFormat="1" x14ac:dyDescent="0.2">
      <c r="A19" s="9" t="s">
        <v>16</v>
      </c>
      <c r="B19" s="10">
        <v>85.415917750000006</v>
      </c>
      <c r="C19" s="10">
        <v>80.928358069999987</v>
      </c>
      <c r="D19" s="10">
        <v>93.375432010000011</v>
      </c>
      <c r="E19" s="10">
        <v>102.26966462</v>
      </c>
      <c r="F19" s="10">
        <v>90.777055569999987</v>
      </c>
      <c r="G19" s="10">
        <v>99.258751779999997</v>
      </c>
      <c r="H19" s="10">
        <v>92.032493489999993</v>
      </c>
      <c r="I19" s="10">
        <v>103.96623677000001</v>
      </c>
      <c r="J19" s="10">
        <v>108.01875484</v>
      </c>
      <c r="K19" s="10">
        <v>103.60439865000001</v>
      </c>
      <c r="L19" s="10">
        <v>117.21170434</v>
      </c>
      <c r="M19" s="11">
        <v>104.22116245000001</v>
      </c>
      <c r="N19" s="10">
        <v>118.150057</v>
      </c>
      <c r="O19" s="10">
        <v>107.46516699999999</v>
      </c>
      <c r="P19" s="10">
        <v>58.869475000000001</v>
      </c>
      <c r="Q19" s="10">
        <v>102.050877</v>
      </c>
      <c r="R19" s="10">
        <v>112.52267000000001</v>
      </c>
      <c r="S19" s="10">
        <v>113.17618299999999</v>
      </c>
      <c r="T19" s="10">
        <v>116.687911</v>
      </c>
      <c r="U19" s="10">
        <v>119.17809800000001</v>
      </c>
      <c r="V19" s="10">
        <v>119.049386</v>
      </c>
      <c r="W19" s="10">
        <v>126.91812299999999</v>
      </c>
      <c r="X19" s="10">
        <v>139.985702</v>
      </c>
      <c r="Y19" s="11">
        <v>148.72787700000001</v>
      </c>
      <c r="Z19" s="10">
        <v>166.51895999999999</v>
      </c>
      <c r="AA19" s="10">
        <v>154.430308</v>
      </c>
      <c r="AB19" s="10">
        <v>201.128152</v>
      </c>
      <c r="AC19" s="10">
        <v>196.98</v>
      </c>
      <c r="AD19" s="10">
        <v>179.35659899999999</v>
      </c>
      <c r="AE19" s="10">
        <v>194.34392700000001</v>
      </c>
      <c r="AF19" s="10">
        <v>211.277681</v>
      </c>
      <c r="AG19" s="10">
        <v>217.495341</v>
      </c>
      <c r="AH19" s="10">
        <v>230.99853899999999</v>
      </c>
      <c r="AI19" s="10">
        <v>243.745597</v>
      </c>
      <c r="AJ19" s="10">
        <v>225.960543</v>
      </c>
      <c r="AK19" s="11">
        <v>220.235164</v>
      </c>
      <c r="AL19" s="10">
        <v>242.25645</v>
      </c>
      <c r="AM19" s="10">
        <v>227.20149699999999</v>
      </c>
      <c r="AN19" s="10">
        <v>304.76424300000002</v>
      </c>
      <c r="AO19" s="10">
        <v>275.20583199999999</v>
      </c>
      <c r="AP19" s="10">
        <v>292.21430700000002</v>
      </c>
      <c r="AQ19" s="10">
        <v>300.68520799999999</v>
      </c>
      <c r="AR19" s="10">
        <v>344.95734399999998</v>
      </c>
      <c r="AS19" s="10">
        <v>371.77166</v>
      </c>
      <c r="AT19" s="10">
        <v>384.72170699999998</v>
      </c>
      <c r="AU19" s="10">
        <v>401.40111200000001</v>
      </c>
      <c r="AV19" s="10">
        <v>372.92022900000001</v>
      </c>
      <c r="AW19" s="11">
        <v>428.59979299999998</v>
      </c>
      <c r="AX19" s="10">
        <v>357.96489400000002</v>
      </c>
      <c r="AY19" s="10">
        <v>342.99678299999999</v>
      </c>
      <c r="AZ19" s="10">
        <v>435.96799199999998</v>
      </c>
      <c r="BA19" s="10">
        <v>350.44882100000001</v>
      </c>
      <c r="BB19" s="10">
        <v>407.909086</v>
      </c>
      <c r="BC19" s="10">
        <v>366.55778700000002</v>
      </c>
      <c r="BD19" s="10">
        <v>497.84468900000002</v>
      </c>
      <c r="BE19" s="10">
        <v>516.24726899999996</v>
      </c>
      <c r="BF19" s="10">
        <v>580.39872600000001</v>
      </c>
      <c r="BG19" s="10">
        <v>638.06840399999999</v>
      </c>
      <c r="BH19" s="10">
        <v>878.69085299999995</v>
      </c>
      <c r="BI19" s="11">
        <v>678.73096299999997</v>
      </c>
      <c r="BJ19" s="10">
        <v>979.81366800000001</v>
      </c>
      <c r="BK19" s="10">
        <v>984.8737340000007</v>
      </c>
      <c r="BL19" s="10">
        <v>1053.1265619999995</v>
      </c>
      <c r="BM19" s="10">
        <v>1105.388279</v>
      </c>
      <c r="BN19" s="10">
        <v>1512.4624160000001</v>
      </c>
      <c r="BO19" s="10">
        <v>1238.455091</v>
      </c>
      <c r="BP19" s="10">
        <v>1307.0171379999999</v>
      </c>
      <c r="BQ19" s="10">
        <v>1320.162092999999</v>
      </c>
      <c r="BR19" s="10">
        <v>1306.8003160000001</v>
      </c>
      <c r="BS19" s="10">
        <v>1338.1786380000012</v>
      </c>
      <c r="BT19" s="10">
        <v>1303.0062490000018</v>
      </c>
      <c r="BU19" s="11">
        <v>1403.097482000001</v>
      </c>
      <c r="BV19" s="10">
        <v>1685.961577</v>
      </c>
      <c r="BW19" s="10">
        <v>1408.0522249999999</v>
      </c>
      <c r="BX19" s="10">
        <v>1511.8918760000015</v>
      </c>
      <c r="BY19" s="10">
        <v>1782.408222</v>
      </c>
      <c r="BZ19" s="10">
        <v>2121.854636</v>
      </c>
      <c r="CA19" s="10">
        <v>1664.0095330000004</v>
      </c>
      <c r="CB19" s="10">
        <v>1710.9602589999995</v>
      </c>
      <c r="CC19" s="10">
        <v>1738.1854470000001</v>
      </c>
      <c r="CD19" s="10">
        <v>1650.4226490000001</v>
      </c>
      <c r="CE19" s="10">
        <v>1905.9652530000001</v>
      </c>
      <c r="CF19" s="10">
        <v>1859.582028</v>
      </c>
      <c r="CG19" s="11">
        <v>2214.2297789999998</v>
      </c>
      <c r="CH19" s="10">
        <v>1795.2898170000001</v>
      </c>
      <c r="CI19" s="10">
        <v>245.55977999999999</v>
      </c>
      <c r="CJ19" s="10">
        <v>262.06610699999999</v>
      </c>
      <c r="CK19" s="10">
        <v>300.13332200000002</v>
      </c>
      <c r="CL19" s="10">
        <v>289.59379999999999</v>
      </c>
      <c r="CM19" s="10">
        <v>244.020183</v>
      </c>
      <c r="CN19" s="10">
        <v>311.74913800000002</v>
      </c>
      <c r="CO19" s="10">
        <v>310.85009899999568</v>
      </c>
    </row>
    <row r="20" spans="1:93" s="12" customFormat="1" x14ac:dyDescent="0.2">
      <c r="A20" s="9" t="s">
        <v>17</v>
      </c>
      <c r="B20" s="10">
        <v>2.9500208300000001</v>
      </c>
      <c r="C20" s="10">
        <v>2.86547983</v>
      </c>
      <c r="D20" s="10">
        <v>2.4768868200000003</v>
      </c>
      <c r="E20" s="10">
        <v>2.31608861</v>
      </c>
      <c r="F20" s="10">
        <v>2.1333784800000002</v>
      </c>
      <c r="G20" s="10">
        <v>1.90530515</v>
      </c>
      <c r="H20" s="10">
        <v>1.3294459999999999</v>
      </c>
      <c r="I20" s="10">
        <v>1.0955257599999999</v>
      </c>
      <c r="J20" s="10">
        <v>0.99910582999999997</v>
      </c>
      <c r="K20" s="10">
        <v>0.92105298000000002</v>
      </c>
      <c r="L20" s="10">
        <v>0.83248768000000006</v>
      </c>
      <c r="M20" s="11">
        <v>1.1040569200000001</v>
      </c>
      <c r="N20" s="10">
        <v>0.85628093000000005</v>
      </c>
      <c r="O20" s="10">
        <v>3.0581536000000002</v>
      </c>
      <c r="P20" s="10">
        <v>14.23642778</v>
      </c>
      <c r="Q20" s="10">
        <v>1.39773547</v>
      </c>
      <c r="R20" s="10">
        <v>4.4486225099999999</v>
      </c>
      <c r="S20" s="10">
        <v>9.7312581399999996</v>
      </c>
      <c r="T20" s="10">
        <v>64.679059449999997</v>
      </c>
      <c r="U20" s="10">
        <v>15.672172120000001</v>
      </c>
      <c r="V20" s="10">
        <v>10.905288259999999</v>
      </c>
      <c r="W20" s="10">
        <v>11.329936369999999</v>
      </c>
      <c r="X20" s="10">
        <v>10.913097519999999</v>
      </c>
      <c r="Y20" s="11">
        <v>10.255194900000001</v>
      </c>
      <c r="Z20" s="10">
        <v>9.50826949</v>
      </c>
      <c r="AA20" s="10">
        <v>9.3167803500000002</v>
      </c>
      <c r="AB20" s="10">
        <v>9.6647557299999995</v>
      </c>
      <c r="AC20" s="10">
        <v>9.2171675099999995</v>
      </c>
      <c r="AD20" s="10">
        <v>10.120932420000001</v>
      </c>
      <c r="AE20" s="10">
        <v>8.1585396100000001</v>
      </c>
      <c r="AF20" s="10">
        <v>6.8098947599999997</v>
      </c>
      <c r="AG20" s="10">
        <v>7.5018892299999997</v>
      </c>
      <c r="AH20" s="10">
        <v>3.90936364</v>
      </c>
      <c r="AI20" s="10">
        <v>3.8396780100000001</v>
      </c>
      <c r="AJ20" s="10">
        <v>4.5389999999999997</v>
      </c>
      <c r="AK20" s="11">
        <v>3.8314432699999998</v>
      </c>
      <c r="AL20" s="10">
        <v>3.56086138</v>
      </c>
      <c r="AM20" s="10">
        <v>3.3326466400000001</v>
      </c>
      <c r="AN20" s="10">
        <v>3.6757370599999999</v>
      </c>
      <c r="AO20" s="10">
        <v>3.6023945099999999</v>
      </c>
      <c r="AP20" s="10">
        <v>3.2456423499999998</v>
      </c>
      <c r="AQ20" s="10">
        <v>2.7711415599999998</v>
      </c>
      <c r="AR20" s="10">
        <v>2.7623018099999999</v>
      </c>
      <c r="AS20" s="10">
        <v>2.3280026399999998</v>
      </c>
      <c r="AT20" s="10">
        <v>1.81509619</v>
      </c>
      <c r="AU20" s="10">
        <v>3.119659</v>
      </c>
      <c r="AV20" s="10">
        <v>6.7357480299999999</v>
      </c>
      <c r="AW20" s="11">
        <v>5.0290262800000001</v>
      </c>
      <c r="AX20" s="10">
        <v>0.25538445999999998</v>
      </c>
      <c r="AY20" s="10">
        <v>15.288511959999999</v>
      </c>
      <c r="AZ20" s="10">
        <v>7.0288062099999999</v>
      </c>
      <c r="BA20" s="10">
        <v>6.9435465599999997</v>
      </c>
      <c r="BB20" s="10">
        <v>6.3927833700000001</v>
      </c>
      <c r="BC20" s="10">
        <v>5.9256506099999999</v>
      </c>
      <c r="BD20" s="10">
        <v>6.02509271</v>
      </c>
      <c r="BE20" s="10">
        <v>6.0965026</v>
      </c>
      <c r="BF20" s="10">
        <v>4.1984903999999998</v>
      </c>
      <c r="BG20" s="10">
        <v>5.2400886099999999</v>
      </c>
      <c r="BH20" s="10">
        <v>4.1131265399999997</v>
      </c>
      <c r="BI20" s="11">
        <v>4.4645705400000004</v>
      </c>
      <c r="BJ20" s="10">
        <v>5.3854066500000002</v>
      </c>
      <c r="BK20" s="10">
        <v>3.5924544699999998</v>
      </c>
      <c r="BL20" s="10">
        <v>4.8278656700000004</v>
      </c>
      <c r="BM20" s="10">
        <v>215.75865114999999</v>
      </c>
      <c r="BN20" s="10">
        <v>911.6938328</v>
      </c>
      <c r="BO20" s="10">
        <v>659.69053526999994</v>
      </c>
      <c r="BP20" s="10">
        <v>1390.2193694799998</v>
      </c>
      <c r="BQ20" s="10">
        <v>545.40959710999994</v>
      </c>
      <c r="BR20" s="10">
        <v>170.30054931000001</v>
      </c>
      <c r="BS20" s="10">
        <v>161.29686156999998</v>
      </c>
      <c r="BT20" s="10">
        <v>129.30601566000001</v>
      </c>
      <c r="BU20" s="11">
        <v>126.59132896</v>
      </c>
      <c r="BV20" s="10">
        <v>162.27230821000001</v>
      </c>
      <c r="BW20" s="10">
        <v>66.765481109999996</v>
      </c>
      <c r="BX20" s="10">
        <v>57.024170980000001</v>
      </c>
      <c r="BY20" s="10">
        <v>54.950252120000002</v>
      </c>
      <c r="BZ20" s="10">
        <v>50.534101280000002</v>
      </c>
      <c r="CA20" s="10">
        <v>46.703477939999999</v>
      </c>
      <c r="CB20" s="10">
        <v>45.753310659999997</v>
      </c>
      <c r="CC20" s="10">
        <v>28.437133110000001</v>
      </c>
      <c r="CD20" s="10">
        <v>40.251468440000004</v>
      </c>
      <c r="CE20" s="10">
        <v>42.814758550000001</v>
      </c>
      <c r="CF20" s="10">
        <v>18.051206320000002</v>
      </c>
      <c r="CG20" s="11">
        <v>29.063050180000001</v>
      </c>
      <c r="CH20" s="10">
        <v>13.688843620000002</v>
      </c>
      <c r="CI20" s="10">
        <v>5.3135233299999998</v>
      </c>
      <c r="CJ20" s="10">
        <v>3.8361823699960951</v>
      </c>
      <c r="CK20" s="10">
        <v>1.6568420400000001</v>
      </c>
      <c r="CL20" s="10">
        <v>2.1785518500000003</v>
      </c>
      <c r="CM20" s="10">
        <v>1.8647465999999999</v>
      </c>
      <c r="CN20" s="10">
        <v>1.21618048</v>
      </c>
      <c r="CO20" s="10">
        <v>0.85004265000000001</v>
      </c>
    </row>
    <row r="21" spans="1:93" s="12" customFormat="1" x14ac:dyDescent="0.2">
      <c r="A21" s="9" t="s">
        <v>18</v>
      </c>
      <c r="B21" s="10">
        <v>8.9780779199999987</v>
      </c>
      <c r="C21" s="10">
        <v>5.6635449900000001</v>
      </c>
      <c r="D21" s="10">
        <v>8.6552889900000007</v>
      </c>
      <c r="E21" s="10">
        <v>8.5535759599999999</v>
      </c>
      <c r="F21" s="10">
        <v>12.88792411</v>
      </c>
      <c r="G21" s="10">
        <v>7.3735027199999994</v>
      </c>
      <c r="H21" s="10">
        <v>7.4800207299999997</v>
      </c>
      <c r="I21" s="10">
        <v>8.4466696900000002</v>
      </c>
      <c r="J21" s="10">
        <v>11.07741957</v>
      </c>
      <c r="K21" s="10">
        <v>9.3134542000000007</v>
      </c>
      <c r="L21" s="10">
        <v>40.869774300000003</v>
      </c>
      <c r="M21" s="11">
        <v>9.7111775300000005</v>
      </c>
      <c r="N21" s="10">
        <v>9.6758330500000014</v>
      </c>
      <c r="O21" s="10">
        <v>9.1999196599999991</v>
      </c>
      <c r="P21" s="10">
        <v>5.4959010800000003</v>
      </c>
      <c r="Q21" s="10">
        <v>1.4465619499999998</v>
      </c>
      <c r="R21" s="10">
        <v>3.5353702900000004</v>
      </c>
      <c r="S21" s="10">
        <v>4.0902106900000001</v>
      </c>
      <c r="T21" s="10">
        <v>4.0496450099999999</v>
      </c>
      <c r="U21" s="10">
        <v>57.335067010000003</v>
      </c>
      <c r="V21" s="10">
        <v>2.8596242000000003</v>
      </c>
      <c r="W21" s="10">
        <v>11.189030780000001</v>
      </c>
      <c r="X21" s="10">
        <v>73.543224679999994</v>
      </c>
      <c r="Y21" s="11">
        <v>9.7238081699999999</v>
      </c>
      <c r="Z21" s="10">
        <v>4.7854827999999996</v>
      </c>
      <c r="AA21" s="10">
        <v>8.2857514400000003</v>
      </c>
      <c r="AB21" s="10">
        <v>17.505444149999999</v>
      </c>
      <c r="AC21" s="10">
        <v>30.23</v>
      </c>
      <c r="AD21" s="10">
        <v>14.037069259999999</v>
      </c>
      <c r="AE21" s="10">
        <v>18.042637539999998</v>
      </c>
      <c r="AF21" s="10">
        <v>10.85612124</v>
      </c>
      <c r="AG21" s="10">
        <v>20.459536050000001</v>
      </c>
      <c r="AH21" s="10">
        <v>11.627777500000001</v>
      </c>
      <c r="AI21" s="10">
        <v>11.43995209</v>
      </c>
      <c r="AJ21" s="10">
        <v>15.57107938</v>
      </c>
      <c r="AK21" s="11">
        <v>34.276130710000004</v>
      </c>
      <c r="AL21" s="10">
        <v>28.855369310000004</v>
      </c>
      <c r="AM21" s="10">
        <v>22.381056599999997</v>
      </c>
      <c r="AN21" s="10">
        <v>59.255205780000004</v>
      </c>
      <c r="AO21" s="10">
        <v>28.683082519999999</v>
      </c>
      <c r="AP21" s="10">
        <v>26.968710260000002</v>
      </c>
      <c r="AQ21" s="10">
        <v>34.398833799999998</v>
      </c>
      <c r="AR21" s="10">
        <v>33.20219925</v>
      </c>
      <c r="AS21" s="10">
        <v>26.234191970000001</v>
      </c>
      <c r="AT21" s="10">
        <v>29.941306959999999</v>
      </c>
      <c r="AU21" s="10">
        <v>24.229680859999998</v>
      </c>
      <c r="AV21" s="10">
        <v>33.885014759999997</v>
      </c>
      <c r="AW21" s="11">
        <v>34.9286095</v>
      </c>
      <c r="AX21" s="10">
        <v>53.728303379999993</v>
      </c>
      <c r="AY21" s="10">
        <v>30.870060540000001</v>
      </c>
      <c r="AZ21" s="10">
        <v>69.805647240000013</v>
      </c>
      <c r="BA21" s="10">
        <v>46.221946559999999</v>
      </c>
      <c r="BB21" s="10">
        <v>118.13343478</v>
      </c>
      <c r="BC21" s="10">
        <v>59.536875010000003</v>
      </c>
      <c r="BD21" s="10">
        <v>61.351942159999993</v>
      </c>
      <c r="BE21" s="10">
        <v>66.556394830000002</v>
      </c>
      <c r="BF21" s="10">
        <v>62.271659970000002</v>
      </c>
      <c r="BG21" s="10">
        <v>66.29686375</v>
      </c>
      <c r="BH21" s="10">
        <v>87.496981390000002</v>
      </c>
      <c r="BI21" s="11">
        <v>69.144493559999987</v>
      </c>
      <c r="BJ21" s="10">
        <v>244.20032223000001</v>
      </c>
      <c r="BK21" s="10">
        <v>19.356988519999998</v>
      </c>
      <c r="BL21" s="10">
        <v>243.63064937000001</v>
      </c>
      <c r="BM21" s="10">
        <v>235.76481333000001</v>
      </c>
      <c r="BN21" s="10">
        <v>322.39287176000289</v>
      </c>
      <c r="BO21" s="10">
        <v>411.13927293999586</v>
      </c>
      <c r="BP21" s="10">
        <v>966.05613482999991</v>
      </c>
      <c r="BQ21" s="10">
        <v>404.55211422000002</v>
      </c>
      <c r="BR21" s="10">
        <v>313.64302032999331</v>
      </c>
      <c r="BS21" s="10">
        <v>382.18112273000003</v>
      </c>
      <c r="BT21" s="10">
        <v>300.17569247</v>
      </c>
      <c r="BU21" s="11">
        <v>246.65450027</v>
      </c>
      <c r="BV21" s="10">
        <v>296.56568525</v>
      </c>
      <c r="BW21" s="10">
        <v>1144.7202770199999</v>
      </c>
      <c r="BX21" s="10">
        <v>471.92037515999982</v>
      </c>
      <c r="BY21" s="10">
        <v>463.88940632999999</v>
      </c>
      <c r="BZ21" s="10">
        <v>378.49556888000001</v>
      </c>
      <c r="CA21" s="10">
        <v>504.98013811000004</v>
      </c>
      <c r="CB21" s="10">
        <v>369.02773615000478</v>
      </c>
      <c r="CC21" s="10">
        <v>381.29142999999999</v>
      </c>
      <c r="CD21" s="10">
        <v>516.58176193999998</v>
      </c>
      <c r="CE21" s="10">
        <v>522.39366934000282</v>
      </c>
      <c r="CF21" s="10">
        <v>501.50948395999876</v>
      </c>
      <c r="CG21" s="11">
        <v>429.80995672999416</v>
      </c>
      <c r="CH21" s="10">
        <f>(13500000+4125301.91+367799650.58)/1000000</f>
        <v>385.42495249000001</v>
      </c>
      <c r="CI21" s="10">
        <v>505.25552674999926</v>
      </c>
      <c r="CJ21" s="10">
        <v>471.82763768000586</v>
      </c>
      <c r="CK21" s="10">
        <v>497.73343988999841</v>
      </c>
      <c r="CL21" s="10">
        <v>474.85609410000001</v>
      </c>
      <c r="CM21" s="10">
        <v>591.46546752999996</v>
      </c>
      <c r="CN21" s="10">
        <v>450.28220881999999</v>
      </c>
      <c r="CO21" s="10"/>
    </row>
    <row r="22" spans="1:93" s="12" customFormat="1" x14ac:dyDescent="0.2">
      <c r="A22" s="9" t="s">
        <v>19</v>
      </c>
      <c r="B22" s="10">
        <v>10.692647000000001</v>
      </c>
      <c r="C22" s="10">
        <v>11.718891999999999</v>
      </c>
      <c r="D22" s="10">
        <v>10.481232</v>
      </c>
      <c r="E22" s="10">
        <v>10.85</v>
      </c>
      <c r="F22" s="10">
        <v>12.192955000000001</v>
      </c>
      <c r="G22" s="10">
        <v>12.666928</v>
      </c>
      <c r="H22" s="10">
        <v>12.530562999999995</v>
      </c>
      <c r="I22" s="10">
        <v>14.030274000000006</v>
      </c>
      <c r="J22" s="10">
        <v>14.715952000000005</v>
      </c>
      <c r="K22" s="10">
        <v>15.23</v>
      </c>
      <c r="L22" s="10">
        <v>18.45</v>
      </c>
      <c r="M22" s="11">
        <v>15.14</v>
      </c>
      <c r="N22" s="10">
        <v>15.8</v>
      </c>
      <c r="O22" s="10">
        <v>17.13</v>
      </c>
      <c r="P22" s="10">
        <v>12.74</v>
      </c>
      <c r="Q22" s="10">
        <v>3.36</v>
      </c>
      <c r="R22" s="10">
        <v>10.46</v>
      </c>
      <c r="S22" s="10">
        <v>7.18</v>
      </c>
      <c r="T22" s="10">
        <v>8.6199999999999992</v>
      </c>
      <c r="U22" s="10">
        <v>4.99</v>
      </c>
      <c r="V22" s="10">
        <v>5.0999999999999996</v>
      </c>
      <c r="W22" s="10">
        <v>8.26</v>
      </c>
      <c r="X22" s="10">
        <v>7.57</v>
      </c>
      <c r="Y22" s="11">
        <v>9.85</v>
      </c>
      <c r="Z22" s="10">
        <v>8.43</v>
      </c>
      <c r="AA22" s="10">
        <v>8.41</v>
      </c>
      <c r="AB22" s="10">
        <v>6.57</v>
      </c>
      <c r="AC22" s="10">
        <v>13.02</v>
      </c>
      <c r="AD22" s="10">
        <v>9.93</v>
      </c>
      <c r="AE22" s="10">
        <v>10.77</v>
      </c>
      <c r="AF22" s="10">
        <v>11.68</v>
      </c>
      <c r="AG22" s="10">
        <v>12.09</v>
      </c>
      <c r="AH22" s="10">
        <v>11.14</v>
      </c>
      <c r="AI22" s="10">
        <v>13.61</v>
      </c>
      <c r="AJ22" s="10">
        <v>14.9</v>
      </c>
      <c r="AK22" s="11">
        <v>31.25</v>
      </c>
      <c r="AL22" s="10">
        <v>35.79</v>
      </c>
      <c r="AM22" s="10">
        <v>28.04</v>
      </c>
      <c r="AN22" s="10">
        <v>34.840000000000003</v>
      </c>
      <c r="AO22" s="10">
        <v>35.74</v>
      </c>
      <c r="AP22" s="10">
        <v>33.880000000000003</v>
      </c>
      <c r="AQ22" s="10">
        <v>42.24</v>
      </c>
      <c r="AR22" s="10">
        <v>44.34</v>
      </c>
      <c r="AS22" s="10">
        <v>42.23</v>
      </c>
      <c r="AT22" s="10">
        <v>52.5</v>
      </c>
      <c r="AU22" s="10">
        <v>42.58</v>
      </c>
      <c r="AV22" s="10">
        <v>57</v>
      </c>
      <c r="AW22" s="11">
        <v>49.36</v>
      </c>
      <c r="AX22" s="10">
        <v>65.38</v>
      </c>
      <c r="AY22" s="10">
        <v>48.31</v>
      </c>
      <c r="AZ22" s="10">
        <v>97.7</v>
      </c>
      <c r="BA22" s="10">
        <v>71.13</v>
      </c>
      <c r="BB22" s="10">
        <v>72.39</v>
      </c>
      <c r="BC22" s="10">
        <v>85.46</v>
      </c>
      <c r="BD22" s="10">
        <v>85.08</v>
      </c>
      <c r="BE22" s="10">
        <v>114.89</v>
      </c>
      <c r="BF22" s="10">
        <v>102.29</v>
      </c>
      <c r="BG22" s="10">
        <v>88.21</v>
      </c>
      <c r="BH22" s="10">
        <v>143.85</v>
      </c>
      <c r="BI22" s="11">
        <v>154.47999999999999</v>
      </c>
      <c r="BJ22" s="10">
        <v>137.62</v>
      </c>
      <c r="BK22" s="10">
        <v>186.63</v>
      </c>
      <c r="BL22" s="10">
        <v>166.19</v>
      </c>
      <c r="BM22" s="10">
        <v>170.5</v>
      </c>
      <c r="BN22" s="10">
        <v>228.28</v>
      </c>
      <c r="BO22" s="10">
        <v>269.04000000000002</v>
      </c>
      <c r="BP22" s="10">
        <v>276.58</v>
      </c>
      <c r="BQ22" s="10">
        <v>320.81</v>
      </c>
      <c r="BR22" s="10">
        <v>467.51</v>
      </c>
      <c r="BS22" s="10">
        <v>391.18</v>
      </c>
      <c r="BT22" s="10">
        <v>415.85</v>
      </c>
      <c r="BU22" s="11">
        <v>462.88</v>
      </c>
      <c r="BV22" s="10">
        <v>595.97</v>
      </c>
      <c r="BW22" s="10">
        <v>572.71</v>
      </c>
      <c r="BX22" s="10">
        <v>574.38</v>
      </c>
      <c r="BY22" s="10">
        <v>651.04999999999995</v>
      </c>
      <c r="BZ22" s="10">
        <v>653.84</v>
      </c>
      <c r="CA22" s="10">
        <v>1072.28</v>
      </c>
      <c r="CB22" s="10">
        <v>822.38</v>
      </c>
      <c r="CC22" s="10">
        <v>736.52</v>
      </c>
      <c r="CD22" s="10">
        <v>744.43</v>
      </c>
      <c r="CE22" s="10">
        <v>793.27</v>
      </c>
      <c r="CF22" s="10">
        <v>394.8</v>
      </c>
      <c r="CG22" s="11">
        <v>1151.49</v>
      </c>
      <c r="CH22" s="10">
        <v>837.55</v>
      </c>
      <c r="CI22" s="10">
        <v>777.75</v>
      </c>
      <c r="CJ22" s="10">
        <v>763.59</v>
      </c>
      <c r="CK22" s="10">
        <v>832.74</v>
      </c>
      <c r="CL22" s="10">
        <v>928.62</v>
      </c>
      <c r="CM22" s="10">
        <v>826.8</v>
      </c>
      <c r="CN22" s="10"/>
      <c r="CO22" s="10"/>
    </row>
    <row r="23" spans="1:93" s="12" customFormat="1" x14ac:dyDescent="0.2">
      <c r="A23" s="9" t="s">
        <v>53</v>
      </c>
      <c r="B23" s="10" t="s">
        <v>24</v>
      </c>
      <c r="C23" s="10" t="s">
        <v>24</v>
      </c>
      <c r="D23" s="10" t="s">
        <v>24</v>
      </c>
      <c r="E23" s="10" t="s">
        <v>24</v>
      </c>
      <c r="F23" s="10" t="s">
        <v>24</v>
      </c>
      <c r="G23" s="10" t="s">
        <v>24</v>
      </c>
      <c r="H23" s="10" t="s">
        <v>24</v>
      </c>
      <c r="I23" s="10" t="s">
        <v>24</v>
      </c>
      <c r="J23" s="10" t="s">
        <v>24</v>
      </c>
      <c r="K23" s="10" t="s">
        <v>24</v>
      </c>
      <c r="L23" s="10" t="s">
        <v>24</v>
      </c>
      <c r="M23" s="11" t="s">
        <v>24</v>
      </c>
      <c r="N23" s="10" t="s">
        <v>24</v>
      </c>
      <c r="O23" s="10" t="s">
        <v>24</v>
      </c>
      <c r="P23" s="10" t="s">
        <v>24</v>
      </c>
      <c r="Q23" s="10" t="s">
        <v>24</v>
      </c>
      <c r="R23" s="10" t="s">
        <v>24</v>
      </c>
      <c r="S23" s="10" t="s">
        <v>24</v>
      </c>
      <c r="T23" s="10" t="s">
        <v>24</v>
      </c>
      <c r="U23" s="10" t="s">
        <v>24</v>
      </c>
      <c r="V23" s="10" t="s">
        <v>24</v>
      </c>
      <c r="W23" s="10" t="s">
        <v>24</v>
      </c>
      <c r="X23" s="10" t="s">
        <v>24</v>
      </c>
      <c r="Y23" s="11" t="s">
        <v>24</v>
      </c>
      <c r="Z23" s="10" t="s">
        <v>24</v>
      </c>
      <c r="AA23" s="10" t="s">
        <v>24</v>
      </c>
      <c r="AB23" s="10" t="s">
        <v>24</v>
      </c>
      <c r="AC23" s="10" t="s">
        <v>24</v>
      </c>
      <c r="AD23" s="10" t="s">
        <v>24</v>
      </c>
      <c r="AE23" s="10" t="s">
        <v>24</v>
      </c>
      <c r="AF23" s="10" t="s">
        <v>24</v>
      </c>
      <c r="AG23" s="10" t="s">
        <v>24</v>
      </c>
      <c r="AH23" s="10" t="s">
        <v>24</v>
      </c>
      <c r="AI23" s="10" t="s">
        <v>24</v>
      </c>
      <c r="AJ23" s="10" t="s">
        <v>24</v>
      </c>
      <c r="AK23" s="11" t="s">
        <v>24</v>
      </c>
      <c r="AL23" s="10" t="s">
        <v>24</v>
      </c>
      <c r="AM23" s="10" t="s">
        <v>24</v>
      </c>
      <c r="AN23" s="10" t="s">
        <v>24</v>
      </c>
      <c r="AO23" s="10" t="s">
        <v>24</v>
      </c>
      <c r="AP23" s="10" t="s">
        <v>24</v>
      </c>
      <c r="AQ23" s="10" t="s">
        <v>24</v>
      </c>
      <c r="AR23" s="10" t="s">
        <v>24</v>
      </c>
      <c r="AS23" s="10" t="s">
        <v>24</v>
      </c>
      <c r="AT23" s="10" t="s">
        <v>24</v>
      </c>
      <c r="AU23" s="10" t="s">
        <v>24</v>
      </c>
      <c r="AV23" s="10" t="s">
        <v>24</v>
      </c>
      <c r="AW23" s="11" t="s">
        <v>24</v>
      </c>
      <c r="AX23" s="10" t="s">
        <v>24</v>
      </c>
      <c r="AY23" s="10" t="s">
        <v>24</v>
      </c>
      <c r="AZ23" s="10" t="s">
        <v>24</v>
      </c>
      <c r="BA23" s="10" t="s">
        <v>24</v>
      </c>
      <c r="BB23" s="10" t="s">
        <v>24</v>
      </c>
      <c r="BC23" s="10" t="s">
        <v>24</v>
      </c>
      <c r="BD23" s="10" t="s">
        <v>24</v>
      </c>
      <c r="BE23" s="10" t="s">
        <v>24</v>
      </c>
      <c r="BF23" s="10" t="s">
        <v>24</v>
      </c>
      <c r="BG23" s="10" t="s">
        <v>24</v>
      </c>
      <c r="BH23" s="10" t="s">
        <v>24</v>
      </c>
      <c r="BI23" s="11" t="s">
        <v>24</v>
      </c>
      <c r="BJ23" s="10">
        <v>66.138012599999996</v>
      </c>
      <c r="BK23" s="10">
        <v>62.69377661</v>
      </c>
      <c r="BL23" s="10">
        <v>66.233039079999998</v>
      </c>
      <c r="BM23" s="10">
        <v>50.809953479999997</v>
      </c>
      <c r="BN23" s="10">
        <v>65.407198429999994</v>
      </c>
      <c r="BO23" s="10">
        <v>87.741361920000003</v>
      </c>
      <c r="BP23" s="10">
        <v>137.54384861</v>
      </c>
      <c r="BQ23" s="10">
        <v>151.09735023000002</v>
      </c>
      <c r="BR23" s="10">
        <v>154.11261191</v>
      </c>
      <c r="BS23" s="10">
        <v>131.03081649000001</v>
      </c>
      <c r="BT23" s="10">
        <v>149.66101558</v>
      </c>
      <c r="BU23" s="11">
        <v>107.24316931999999</v>
      </c>
      <c r="BV23" s="10">
        <v>162.87480210999999</v>
      </c>
      <c r="BW23" s="10">
        <v>142.28723955999999</v>
      </c>
      <c r="BX23" s="10">
        <v>155.55219478000001</v>
      </c>
      <c r="BY23" s="10">
        <v>178.62867452</v>
      </c>
      <c r="BZ23" s="10">
        <v>140.91042565000001</v>
      </c>
      <c r="CA23" s="10">
        <v>189.14368407000001</v>
      </c>
      <c r="CB23" s="10">
        <v>205.67543037000002</v>
      </c>
      <c r="CC23" s="10">
        <v>240.82439443999999</v>
      </c>
      <c r="CD23" s="10">
        <v>205.19687395</v>
      </c>
      <c r="CE23" s="10">
        <v>225.34911233</v>
      </c>
      <c r="CF23" s="10">
        <v>138.77237284999998</v>
      </c>
      <c r="CG23" s="11">
        <v>198.09249331000001</v>
      </c>
      <c r="CH23" s="10">
        <v>202.99764544999999</v>
      </c>
      <c r="CI23" s="10">
        <v>193.51739086999999</v>
      </c>
      <c r="CJ23" s="10">
        <v>139.64569792</v>
      </c>
      <c r="CK23" s="10">
        <v>240.22987409999999</v>
      </c>
      <c r="CL23" s="10">
        <v>135.99400491</v>
      </c>
      <c r="CM23" s="10">
        <v>239.91041766000001</v>
      </c>
      <c r="CN23" s="10">
        <v>188.01710025999998</v>
      </c>
      <c r="CO23" s="10">
        <v>263.55274864</v>
      </c>
    </row>
    <row r="24" spans="1:93" s="12" customFormat="1" x14ac:dyDescent="0.2">
      <c r="A24" s="9" t="s">
        <v>22</v>
      </c>
      <c r="B24" s="10">
        <v>232.11454239</v>
      </c>
      <c r="C24" s="10">
        <v>192.98012814000001</v>
      </c>
      <c r="D24" s="10">
        <v>227.62911855000002</v>
      </c>
      <c r="E24" s="10">
        <v>243.33582971000001</v>
      </c>
      <c r="F24" s="10">
        <v>256.10879590000002</v>
      </c>
      <c r="G24" s="10">
        <v>274.80254581999998</v>
      </c>
      <c r="H24" s="10">
        <v>248.79581840999995</v>
      </c>
      <c r="I24" s="10">
        <v>288.15925491999997</v>
      </c>
      <c r="J24" s="10">
        <v>315.34172477999999</v>
      </c>
      <c r="K24" s="10">
        <v>307.18387774000001</v>
      </c>
      <c r="L24" s="10">
        <v>377.96165346000004</v>
      </c>
      <c r="M24" s="11">
        <v>355.17686837999997</v>
      </c>
      <c r="N24" s="10">
        <v>327.87086983</v>
      </c>
      <c r="O24" s="10">
        <v>272.81591540999995</v>
      </c>
      <c r="P24" s="10">
        <v>280.66487919999997</v>
      </c>
      <c r="Q24" s="10">
        <v>263.32604878000001</v>
      </c>
      <c r="R24" s="10">
        <v>200.98191047</v>
      </c>
      <c r="S24" s="10">
        <v>276.67083886</v>
      </c>
      <c r="T24" s="10">
        <v>364.55121803999998</v>
      </c>
      <c r="U24" s="10">
        <v>403.79524089</v>
      </c>
      <c r="V24" s="10">
        <v>314.97116465999994</v>
      </c>
      <c r="W24" s="10">
        <v>426.40834801</v>
      </c>
      <c r="X24" s="10">
        <v>455.53683788000001</v>
      </c>
      <c r="Y24" s="11">
        <v>527.88873999999998</v>
      </c>
      <c r="Z24" s="10">
        <v>532.60904037</v>
      </c>
      <c r="AA24" s="10">
        <v>491.67546837000003</v>
      </c>
      <c r="AB24" s="10">
        <v>539.82736697000007</v>
      </c>
      <c r="AC24" s="10">
        <v>625.18746024999996</v>
      </c>
      <c r="AD24" s="10">
        <v>622.62196245000007</v>
      </c>
      <c r="AE24" s="10">
        <v>625.73877392000009</v>
      </c>
      <c r="AF24" s="10">
        <v>761.43066962</v>
      </c>
      <c r="AG24" s="10">
        <v>794.33259627999996</v>
      </c>
      <c r="AH24" s="10">
        <v>775.62170386000003</v>
      </c>
      <c r="AI24" s="10">
        <v>762.45112146000008</v>
      </c>
      <c r="AJ24" s="10">
        <v>752.82047272</v>
      </c>
      <c r="AK24" s="11">
        <v>811.82897687000002</v>
      </c>
      <c r="AL24" s="10">
        <v>793.65869077999992</v>
      </c>
      <c r="AM24" s="10">
        <v>766.56219551000004</v>
      </c>
      <c r="AN24" s="10">
        <v>858.38335561999986</v>
      </c>
      <c r="AO24" s="10">
        <v>1077.22278876</v>
      </c>
      <c r="AP24" s="10">
        <v>1068.66313943</v>
      </c>
      <c r="AQ24" s="10">
        <v>1253.4997922999999</v>
      </c>
      <c r="AR24" s="10">
        <v>1454.6456279700001</v>
      </c>
      <c r="AS24" s="10">
        <v>1931.8967441399998</v>
      </c>
      <c r="AT24" s="10">
        <v>1797.6138035900001</v>
      </c>
      <c r="AU24" s="10">
        <v>1910.7403281900001</v>
      </c>
      <c r="AV24" s="10">
        <v>2084.6385437399999</v>
      </c>
      <c r="AW24" s="11">
        <v>2371.3808839499998</v>
      </c>
      <c r="AX24" s="10">
        <v>2156.8879302599998</v>
      </c>
      <c r="AY24" s="10">
        <v>1856.60494692</v>
      </c>
      <c r="AZ24" s="10">
        <v>2443.1720823699998</v>
      </c>
      <c r="BA24" s="10">
        <v>3015.3796732699998</v>
      </c>
      <c r="BB24" s="10">
        <v>2840.6946456999999</v>
      </c>
      <c r="BC24" s="10">
        <v>3284.1561537399998</v>
      </c>
      <c r="BD24" s="10">
        <v>3482.6432133199996</v>
      </c>
      <c r="BE24" s="10">
        <v>3372.1390910500004</v>
      </c>
      <c r="BF24" s="10">
        <v>4367.5348647000001</v>
      </c>
      <c r="BG24" s="10">
        <v>4620.3568905399998</v>
      </c>
      <c r="BH24" s="10">
        <v>5515.7040071199999</v>
      </c>
      <c r="BI24" s="11">
        <v>6941.624584610001</v>
      </c>
      <c r="BJ24" s="10">
        <v>9936.2471667000009</v>
      </c>
      <c r="BK24" s="10">
        <v>8488.2933885999992</v>
      </c>
      <c r="BL24" s="10">
        <v>10541.853185459999</v>
      </c>
      <c r="BM24" s="10">
        <v>10622.67817352</v>
      </c>
      <c r="BN24" s="10">
        <v>10990.65473367</v>
      </c>
      <c r="BO24" s="10">
        <v>11530.17021104</v>
      </c>
      <c r="BP24" s="10">
        <v>10744.186124329999</v>
      </c>
      <c r="BQ24" s="10">
        <v>11521.95522398</v>
      </c>
      <c r="BR24" s="10">
        <v>12593.712389479999</v>
      </c>
      <c r="BS24" s="10">
        <v>13067.68869035</v>
      </c>
      <c r="BT24" s="10">
        <v>14574.678147299999</v>
      </c>
      <c r="BU24" s="11">
        <v>14579.72381243</v>
      </c>
      <c r="BV24" s="10">
        <v>15128.294511279999</v>
      </c>
      <c r="BW24" s="10">
        <v>13144.84841654</v>
      </c>
      <c r="BX24" s="10">
        <v>12643.41608402</v>
      </c>
      <c r="BY24" s="10">
        <v>14252.07480873</v>
      </c>
      <c r="BZ24" s="10">
        <v>15979.875670630001</v>
      </c>
      <c r="CA24" s="10">
        <v>15156.529123759999</v>
      </c>
      <c r="CB24" s="10">
        <v>17680.978959830001</v>
      </c>
      <c r="CC24" s="10">
        <v>17133.70000759</v>
      </c>
      <c r="CD24" s="10">
        <v>17067.124089829998</v>
      </c>
      <c r="CE24" s="10">
        <v>17559.328380200001</v>
      </c>
      <c r="CF24" s="10">
        <v>19357.398841300004</v>
      </c>
      <c r="CG24" s="11">
        <v>17905.227939689998</v>
      </c>
      <c r="CH24" s="10">
        <v>17514.613540800001</v>
      </c>
      <c r="CI24" s="10">
        <v>13899.49293973</v>
      </c>
      <c r="CJ24" s="10">
        <v>14825.358630680001</v>
      </c>
      <c r="CK24" s="10">
        <v>19031.337272779998</v>
      </c>
      <c r="CL24" s="10">
        <v>16558.283019130002</v>
      </c>
      <c r="CM24" s="10">
        <v>16210.940456320001</v>
      </c>
      <c r="CN24" s="10">
        <v>18146.845070529998</v>
      </c>
      <c r="CO24" s="10"/>
    </row>
    <row r="25" spans="1:93" s="12" customFormat="1" x14ac:dyDescent="0.2">
      <c r="A25" s="9" t="s">
        <v>20</v>
      </c>
      <c r="B25" s="10">
        <v>105.814243</v>
      </c>
      <c r="C25" s="10">
        <v>87.820536000000004</v>
      </c>
      <c r="D25" s="10">
        <v>88.713857999999988</v>
      </c>
      <c r="E25" s="10">
        <v>92.675663</v>
      </c>
      <c r="F25" s="10">
        <v>99.862515000000002</v>
      </c>
      <c r="G25" s="10">
        <v>106.45105100000001</v>
      </c>
      <c r="H25" s="10">
        <v>144.36500100000001</v>
      </c>
      <c r="I25" s="10">
        <v>115.803819</v>
      </c>
      <c r="J25" s="10">
        <v>117.493005</v>
      </c>
      <c r="K25" s="10">
        <v>120.907971</v>
      </c>
      <c r="L25" s="10">
        <v>120.91272599999999</v>
      </c>
      <c r="M25" s="11">
        <v>113.750372</v>
      </c>
      <c r="N25" s="10">
        <v>147.73305099999999</v>
      </c>
      <c r="O25" s="10">
        <v>115.540955</v>
      </c>
      <c r="P25" s="10">
        <v>108.783925</v>
      </c>
      <c r="Q25" s="10">
        <v>91.488326999999998</v>
      </c>
      <c r="R25" s="10">
        <v>106.24900099999999</v>
      </c>
      <c r="S25" s="10">
        <v>142.35082800000001</v>
      </c>
      <c r="T25" s="10">
        <v>188.67336900000001</v>
      </c>
      <c r="U25" s="10">
        <v>213.63848200000001</v>
      </c>
      <c r="V25" s="10">
        <v>179.819604</v>
      </c>
      <c r="W25" s="10">
        <v>147.02731800000001</v>
      </c>
      <c r="X25" s="10">
        <v>148.50123300000001</v>
      </c>
      <c r="Y25" s="11">
        <v>189.32680799999997</v>
      </c>
      <c r="Z25" s="10">
        <v>197.48578599999999</v>
      </c>
      <c r="AA25" s="10">
        <v>143.49794900000001</v>
      </c>
      <c r="AB25" s="10">
        <v>192.31567999999999</v>
      </c>
      <c r="AC25" s="10">
        <v>179.08</v>
      </c>
      <c r="AD25" s="10">
        <v>205.18527900000001</v>
      </c>
      <c r="AE25" s="10">
        <v>206.15683200000001</v>
      </c>
      <c r="AF25" s="10">
        <v>271.327291</v>
      </c>
      <c r="AG25" s="10">
        <v>262.350099</v>
      </c>
      <c r="AH25" s="10">
        <v>239.09631200000001</v>
      </c>
      <c r="AI25" s="10">
        <v>243.25095299999998</v>
      </c>
      <c r="AJ25" s="10">
        <v>239.99522399999998</v>
      </c>
      <c r="AK25" s="11">
        <v>245.67603</v>
      </c>
      <c r="AL25" s="10">
        <v>304.86439799999999</v>
      </c>
      <c r="AM25" s="10">
        <v>242.262505</v>
      </c>
      <c r="AN25" s="10">
        <v>287.56386400000002</v>
      </c>
      <c r="AO25" s="10">
        <v>297.02960300000001</v>
      </c>
      <c r="AP25" s="10">
        <v>316.34338200000002</v>
      </c>
      <c r="AQ25" s="10">
        <v>383.20842399999998</v>
      </c>
      <c r="AR25" s="10">
        <v>470.233206</v>
      </c>
      <c r="AS25" s="10">
        <v>418.90952900000002</v>
      </c>
      <c r="AT25" s="10">
        <v>423.32413000000003</v>
      </c>
      <c r="AU25" s="10">
        <v>371.93530700000002</v>
      </c>
      <c r="AV25" s="10">
        <v>409.47027300000002</v>
      </c>
      <c r="AW25" s="11">
        <v>450.805927</v>
      </c>
      <c r="AX25" s="10">
        <v>548.04557</v>
      </c>
      <c r="AY25" s="10">
        <v>466.71494999999999</v>
      </c>
      <c r="AZ25" s="10">
        <v>533.77993900000001</v>
      </c>
      <c r="BA25" s="10">
        <v>536.91654500000004</v>
      </c>
      <c r="BB25" s="10">
        <v>578.97166400000003</v>
      </c>
      <c r="BC25" s="10">
        <v>661.82163300000002</v>
      </c>
      <c r="BD25" s="10">
        <v>947.754367</v>
      </c>
      <c r="BE25" s="10">
        <v>775.14194499999996</v>
      </c>
      <c r="BF25" s="10">
        <v>822.62286900000004</v>
      </c>
      <c r="BG25" s="10">
        <v>812.39890800000001</v>
      </c>
      <c r="BH25" s="10">
        <v>959.59255499999995</v>
      </c>
      <c r="BI25" s="11">
        <v>972.70097099999998</v>
      </c>
      <c r="BJ25" s="10">
        <v>1406.763762</v>
      </c>
      <c r="BK25" s="10">
        <v>1361.755631</v>
      </c>
      <c r="BL25" s="10">
        <v>1556.4984979999999</v>
      </c>
      <c r="BM25" s="10">
        <v>1765.704207</v>
      </c>
      <c r="BN25" s="10">
        <v>1899.881684</v>
      </c>
      <c r="BO25" s="10">
        <v>2094.3572410000052</v>
      </c>
      <c r="BP25" s="10">
        <v>3022.1412570000002</v>
      </c>
      <c r="BQ25" s="10">
        <v>2442.1372059999999</v>
      </c>
      <c r="BR25" s="10">
        <v>2587.879420000012</v>
      </c>
      <c r="BS25" s="10">
        <v>2605.19148</v>
      </c>
      <c r="BT25" s="10">
        <v>2578.3959180000002</v>
      </c>
      <c r="BU25" s="11">
        <v>2585.260162999999</v>
      </c>
      <c r="BV25" s="10">
        <v>3584.381625</v>
      </c>
      <c r="BW25" s="10">
        <v>3163.367201</v>
      </c>
      <c r="BX25" s="10">
        <v>3292.3387109999999</v>
      </c>
      <c r="BY25" s="10">
        <v>3251.983416</v>
      </c>
      <c r="BZ25" s="10">
        <v>3402.3053070000001</v>
      </c>
      <c r="CA25" s="10">
        <v>3822.2003589999999</v>
      </c>
      <c r="CB25" s="10">
        <v>4889.6030010000004</v>
      </c>
      <c r="CC25" s="10">
        <v>3617.3206599999999</v>
      </c>
      <c r="CD25" s="10">
        <v>3864.9770250000001</v>
      </c>
      <c r="CE25" s="10">
        <v>3670.4714709999998</v>
      </c>
      <c r="CF25" s="10">
        <v>3629.6173389999999</v>
      </c>
      <c r="CG25" s="11">
        <v>3601.164921</v>
      </c>
      <c r="CH25" s="10">
        <v>4864.8099910000019</v>
      </c>
      <c r="CI25" s="10">
        <v>3948.8277169999928</v>
      </c>
      <c r="CJ25" s="10">
        <v>4358.1205049999999</v>
      </c>
      <c r="CK25" s="10">
        <v>4147.5618220000033</v>
      </c>
      <c r="CL25" s="10">
        <v>4143.2432500000141</v>
      </c>
      <c r="CM25" s="10">
        <v>4960.8817580000032</v>
      </c>
      <c r="CN25" s="10">
        <v>6512.5310010000003</v>
      </c>
      <c r="CO25" s="10"/>
    </row>
    <row r="26" spans="1:93" s="12" customFormat="1" ht="12" thickBot="1" x14ac:dyDescent="0.3">
      <c r="A26" s="13" t="s">
        <v>1</v>
      </c>
      <c r="B26" s="14">
        <f t="shared" ref="B26:AG26" si="0">SUM(B2:B25)</f>
        <v>2754.1098345200007</v>
      </c>
      <c r="C26" s="15">
        <f t="shared" si="0"/>
        <v>2519.6033817199996</v>
      </c>
      <c r="D26" s="15">
        <f t="shared" si="0"/>
        <v>2584.9144063799995</v>
      </c>
      <c r="E26" s="15">
        <f t="shared" si="0"/>
        <v>2690.7298893400002</v>
      </c>
      <c r="F26" s="15">
        <f t="shared" si="0"/>
        <v>2901.3095304099993</v>
      </c>
      <c r="G26" s="15">
        <f t="shared" si="0"/>
        <v>2808.2966023899999</v>
      </c>
      <c r="H26" s="15">
        <f t="shared" si="0"/>
        <v>2990.02156264</v>
      </c>
      <c r="I26" s="15">
        <f t="shared" si="0"/>
        <v>2736.4222392900001</v>
      </c>
      <c r="J26" s="15">
        <f t="shared" si="0"/>
        <v>3093.779659759999</v>
      </c>
      <c r="K26" s="15">
        <f t="shared" si="0"/>
        <v>2947.6398290899992</v>
      </c>
      <c r="L26" s="15">
        <f t="shared" si="0"/>
        <v>3125.4377365899991</v>
      </c>
      <c r="M26" s="16">
        <f t="shared" si="0"/>
        <v>3311.5347985600001</v>
      </c>
      <c r="N26" s="14">
        <f t="shared" si="0"/>
        <v>4057.4682063200044</v>
      </c>
      <c r="O26" s="15">
        <f t="shared" si="0"/>
        <v>3044.0279003970891</v>
      </c>
      <c r="P26" s="15">
        <f t="shared" si="0"/>
        <v>2766.9063527000008</v>
      </c>
      <c r="Q26" s="15">
        <f t="shared" si="0"/>
        <v>1695.8361276699998</v>
      </c>
      <c r="R26" s="15">
        <f t="shared" si="0"/>
        <v>1841.29844114</v>
      </c>
      <c r="S26" s="15">
        <f t="shared" si="0"/>
        <v>2334.0386586100003</v>
      </c>
      <c r="T26" s="15">
        <f t="shared" si="0"/>
        <v>2350.4117875000002</v>
      </c>
      <c r="U26" s="15">
        <f t="shared" si="0"/>
        <v>2451.03833476</v>
      </c>
      <c r="V26" s="15">
        <f t="shared" si="0"/>
        <v>2497.8183590299996</v>
      </c>
      <c r="W26" s="15">
        <f t="shared" si="0"/>
        <v>3089.5233883199999</v>
      </c>
      <c r="X26" s="15">
        <f t="shared" si="0"/>
        <v>3417.8826066300007</v>
      </c>
      <c r="Y26" s="16">
        <f t="shared" si="0"/>
        <v>4094.8928291899997</v>
      </c>
      <c r="Z26" s="14">
        <f t="shared" si="0"/>
        <v>4268.0298411899921</v>
      </c>
      <c r="AA26" s="15">
        <f t="shared" si="0"/>
        <v>4295.5706100200023</v>
      </c>
      <c r="AB26" s="15">
        <f t="shared" si="0"/>
        <v>4894.9679239300012</v>
      </c>
      <c r="AC26" s="15">
        <f t="shared" si="0"/>
        <v>4718.3250622599999</v>
      </c>
      <c r="AD26" s="15">
        <f t="shared" si="0"/>
        <v>5010.1827728499993</v>
      </c>
      <c r="AE26" s="15">
        <f t="shared" si="0"/>
        <v>5235.5055077950001</v>
      </c>
      <c r="AF26" s="15">
        <f t="shared" si="0"/>
        <v>5578.7354982699999</v>
      </c>
      <c r="AG26" s="15">
        <f t="shared" si="0"/>
        <v>6047.9532720399975</v>
      </c>
      <c r="AH26" s="15">
        <f t="shared" ref="AH26:CO26" si="1">SUM(AH2:AH25)</f>
        <v>5967.7041690900014</v>
      </c>
      <c r="AI26" s="15">
        <f t="shared" si="1"/>
        <v>5753.450433689999</v>
      </c>
      <c r="AJ26" s="15">
        <f t="shared" si="1"/>
        <v>6011.1690067399995</v>
      </c>
      <c r="AK26" s="16">
        <f t="shared" si="1"/>
        <v>7104.9586147499995</v>
      </c>
      <c r="AL26" s="14">
        <f t="shared" si="1"/>
        <v>6510.1117819700012</v>
      </c>
      <c r="AM26" s="15">
        <f t="shared" si="1"/>
        <v>6314.3315684300078</v>
      </c>
      <c r="AN26" s="15">
        <f t="shared" si="1"/>
        <v>7440.1834521099945</v>
      </c>
      <c r="AO26" s="15">
        <f t="shared" si="1"/>
        <v>7736.0675317500018</v>
      </c>
      <c r="AP26" s="15">
        <f t="shared" si="1"/>
        <v>9019.2610446899998</v>
      </c>
      <c r="AQ26" s="15">
        <f t="shared" si="1"/>
        <v>9799.2372134699999</v>
      </c>
      <c r="AR26" s="15">
        <f t="shared" si="1"/>
        <v>10403.1930868</v>
      </c>
      <c r="AS26" s="15">
        <f t="shared" si="1"/>
        <v>11653.109873610001</v>
      </c>
      <c r="AT26" s="15">
        <f t="shared" si="1"/>
        <v>11577.536283870008</v>
      </c>
      <c r="AU26" s="15">
        <f t="shared" si="1"/>
        <v>12934.96758964782</v>
      </c>
      <c r="AV26" s="15">
        <f t="shared" si="1"/>
        <v>15510.682868140682</v>
      </c>
      <c r="AW26" s="16">
        <f t="shared" si="1"/>
        <v>18871.542649976156</v>
      </c>
      <c r="AX26" s="14">
        <f t="shared" si="1"/>
        <v>15633.684046509055</v>
      </c>
      <c r="AY26" s="15">
        <f t="shared" si="1"/>
        <v>15532.040655839652</v>
      </c>
      <c r="AZ26" s="15">
        <f t="shared" si="1"/>
        <v>15963.939075205577</v>
      </c>
      <c r="BA26" s="15">
        <f t="shared" si="1"/>
        <v>15511.00982782877</v>
      </c>
      <c r="BB26" s="15">
        <f t="shared" si="1"/>
        <v>16409.47615643726</v>
      </c>
      <c r="BC26" s="15">
        <f t="shared" si="1"/>
        <v>18194.069696379371</v>
      </c>
      <c r="BD26" s="15">
        <f t="shared" si="1"/>
        <v>19245.685033645223</v>
      </c>
      <c r="BE26" s="15">
        <f t="shared" si="1"/>
        <v>19717.515700810498</v>
      </c>
      <c r="BF26" s="15">
        <f t="shared" si="1"/>
        <v>20763.600526579328</v>
      </c>
      <c r="BG26" s="15">
        <f t="shared" si="1"/>
        <v>21943.363522506057</v>
      </c>
      <c r="BH26" s="15">
        <f t="shared" si="1"/>
        <v>23077.16178613458</v>
      </c>
      <c r="BI26" s="16">
        <f t="shared" si="1"/>
        <v>26475.87097757445</v>
      </c>
      <c r="BJ26" s="14">
        <f t="shared" si="1"/>
        <v>35398.230706637274</v>
      </c>
      <c r="BK26" s="15">
        <f t="shared" si="1"/>
        <v>32192.406532891437</v>
      </c>
      <c r="BL26" s="15">
        <f t="shared" si="1"/>
        <v>37139.555704436731</v>
      </c>
      <c r="BM26" s="15">
        <f t="shared" si="1"/>
        <v>42485.080708179761</v>
      </c>
      <c r="BN26" s="15">
        <f t="shared" si="1"/>
        <v>45571.739022986316</v>
      </c>
      <c r="BO26" s="15">
        <f t="shared" si="1"/>
        <v>51037.064047244661</v>
      </c>
      <c r="BP26" s="15">
        <f t="shared" si="1"/>
        <v>52587.571384585695</v>
      </c>
      <c r="BQ26" s="15">
        <f t="shared" si="1"/>
        <v>54062.956424466072</v>
      </c>
      <c r="BR26" s="15">
        <f t="shared" si="1"/>
        <v>57965.471898009651</v>
      </c>
      <c r="BS26" s="15">
        <f t="shared" si="1"/>
        <v>64436.610444840881</v>
      </c>
      <c r="BT26" s="15">
        <f t="shared" si="1"/>
        <v>65782.020100810347</v>
      </c>
      <c r="BU26" s="16">
        <f t="shared" si="1"/>
        <v>84896.236633211069</v>
      </c>
      <c r="BV26" s="14">
        <f t="shared" si="1"/>
        <v>73041.814324838881</v>
      </c>
      <c r="BW26" s="15">
        <f t="shared" si="1"/>
        <v>67960.680524769588</v>
      </c>
      <c r="BX26" s="15">
        <f t="shared" si="1"/>
        <v>71277.230942654453</v>
      </c>
      <c r="BY26" s="15">
        <f t="shared" si="1"/>
        <v>75319.279278748116</v>
      </c>
      <c r="BZ26" s="15">
        <f t="shared" si="1"/>
        <v>80112.033474972908</v>
      </c>
      <c r="CA26" s="15">
        <f t="shared" si="1"/>
        <v>80701.936239298098</v>
      </c>
      <c r="CB26" s="15">
        <f t="shared" si="1"/>
        <v>87001.11205264485</v>
      </c>
      <c r="CC26" s="15">
        <f t="shared" si="1"/>
        <v>88764.154801854762</v>
      </c>
      <c r="CD26" s="15">
        <f t="shared" si="1"/>
        <v>88484.656229439526</v>
      </c>
      <c r="CE26" s="15">
        <f t="shared" si="1"/>
        <v>89534.383309098805</v>
      </c>
      <c r="CF26" s="15">
        <f t="shared" si="1"/>
        <v>94301.551229461766</v>
      </c>
      <c r="CG26" s="16">
        <f t="shared" si="1"/>
        <v>132137.39670549231</v>
      </c>
      <c r="CH26" s="14">
        <f>SUM(CH2:CH25)</f>
        <v>163606.11067436432</v>
      </c>
      <c r="CI26" s="15">
        <f t="shared" si="1"/>
        <v>121832.7192285011</v>
      </c>
      <c r="CJ26" s="15">
        <f t="shared" si="1"/>
        <v>114741.18129094623</v>
      </c>
      <c r="CK26" s="15">
        <f t="shared" si="1"/>
        <v>122166.79051417293</v>
      </c>
      <c r="CL26" s="15">
        <f t="shared" si="1"/>
        <v>118326.4446489313</v>
      </c>
      <c r="CM26" s="15">
        <f t="shared" si="1"/>
        <v>126513.97257734655</v>
      </c>
      <c r="CN26" s="15">
        <f t="shared" si="1"/>
        <v>132050.2425424582</v>
      </c>
      <c r="CO26" s="15">
        <f t="shared" si="1"/>
        <v>50067.668954569992</v>
      </c>
    </row>
    <row r="27" spans="1:93" ht="12" thickTop="1" x14ac:dyDescent="0.25">
      <c r="A27" s="9"/>
      <c r="B27" s="17"/>
      <c r="C27" s="17"/>
      <c r="D27" s="17"/>
      <c r="E27" s="12"/>
      <c r="F27" s="12"/>
      <c r="G27" s="12"/>
      <c r="H27" s="12"/>
      <c r="N27" s="17"/>
      <c r="O27" s="17"/>
      <c r="P27" s="17"/>
      <c r="Q27" s="12"/>
      <c r="R27" s="12"/>
      <c r="S27" s="12"/>
      <c r="T27" s="12"/>
      <c r="Z27" s="17"/>
      <c r="AA27" s="17"/>
      <c r="AB27" s="17"/>
      <c r="AC27" s="12"/>
      <c r="AD27" s="12"/>
      <c r="AE27" s="12"/>
      <c r="AF27" s="12"/>
      <c r="AL27" s="17"/>
      <c r="AM27" s="17"/>
      <c r="AN27" s="17"/>
      <c r="AO27" s="12"/>
      <c r="AP27" s="12"/>
      <c r="AQ27" s="12"/>
      <c r="AR27" s="12"/>
      <c r="AX27" s="17"/>
      <c r="AY27" s="17"/>
      <c r="AZ27" s="17"/>
      <c r="BA27" s="12"/>
      <c r="BB27" s="12"/>
      <c r="BC27" s="12"/>
      <c r="BD27" s="12"/>
      <c r="BJ27" s="17"/>
      <c r="BK27" s="17"/>
      <c r="BL27" s="17"/>
      <c r="BM27" s="12"/>
      <c r="BN27" s="12"/>
      <c r="BO27" s="12"/>
      <c r="BP27" s="12"/>
      <c r="BV27" s="17"/>
      <c r="BW27" s="17"/>
      <c r="BX27" s="17"/>
      <c r="BY27" s="12"/>
      <c r="BZ27" s="12"/>
      <c r="CA27" s="12"/>
      <c r="CB27" s="12"/>
      <c r="CH27" s="17"/>
      <c r="CI27" s="17"/>
      <c r="CJ27" s="17"/>
      <c r="CK27" s="17"/>
      <c r="CL27" s="17"/>
      <c r="CM27" s="17"/>
      <c r="CN27" s="17"/>
      <c r="CO27" s="17"/>
    </row>
    <row r="28" spans="1:93" x14ac:dyDescent="0.25">
      <c r="A28" s="18"/>
      <c r="B28" s="19"/>
      <c r="D28" s="19"/>
      <c r="E28" s="19"/>
      <c r="N28" s="19"/>
      <c r="P28" s="19"/>
      <c r="Q28" s="19"/>
      <c r="Z28" s="19"/>
      <c r="AB28" s="19"/>
      <c r="AC28" s="19"/>
      <c r="AL28" s="19"/>
      <c r="AN28" s="19"/>
      <c r="AO28" s="19"/>
      <c r="AX28" s="19"/>
      <c r="AZ28" s="19"/>
      <c r="BA28" s="19"/>
      <c r="BJ28" s="19"/>
      <c r="BL28" s="19"/>
      <c r="BM28" s="19"/>
      <c r="BV28" s="19"/>
      <c r="BX28" s="19"/>
      <c r="BY28" s="19"/>
      <c r="CH28" s="19"/>
    </row>
    <row r="29" spans="1:93" x14ac:dyDescent="0.25">
      <c r="A29" s="18" t="s">
        <v>60</v>
      </c>
      <c r="B29" s="19"/>
      <c r="D29" s="19"/>
      <c r="E29" s="19"/>
      <c r="N29" s="19"/>
      <c r="P29" s="19"/>
      <c r="Q29" s="19"/>
      <c r="Z29" s="19"/>
      <c r="AB29" s="19"/>
      <c r="AC29" s="19"/>
      <c r="AL29" s="19"/>
      <c r="AN29" s="19"/>
      <c r="AO29" s="19"/>
      <c r="AX29" s="19"/>
      <c r="AZ29" s="19"/>
      <c r="BA29" s="19"/>
      <c r="BJ29" s="19"/>
      <c r="BL29" s="19"/>
      <c r="BM29" s="19"/>
      <c r="BV29" s="19"/>
      <c r="BX29" s="19"/>
      <c r="BY29" s="19"/>
      <c r="CH29" s="19"/>
    </row>
    <row r="30" spans="1:93" x14ac:dyDescent="0.25">
      <c r="A30" s="18" t="s">
        <v>65</v>
      </c>
      <c r="B30" s="21"/>
      <c r="C30" s="21"/>
      <c r="D30" s="21"/>
      <c r="N30" s="21"/>
      <c r="O30" s="21"/>
      <c r="P30" s="21"/>
      <c r="Z30" s="21"/>
      <c r="AA30" s="21"/>
      <c r="AB30" s="21"/>
      <c r="AL30" s="21"/>
      <c r="AM30" s="21"/>
      <c r="AN30" s="21"/>
      <c r="AX30" s="21"/>
      <c r="AY30" s="21"/>
      <c r="AZ30" s="21"/>
      <c r="BJ30" s="21"/>
      <c r="BK30" s="21"/>
      <c r="BL30" s="21"/>
      <c r="BV30" s="21"/>
      <c r="BW30" s="21"/>
      <c r="BX30" s="21"/>
      <c r="CH30" s="21"/>
      <c r="CI30" s="21"/>
      <c r="CJ30" s="21"/>
      <c r="CK30" s="21"/>
      <c r="CL30" s="21"/>
      <c r="CM30" s="21"/>
      <c r="CN30" s="21"/>
      <c r="CO30" s="21"/>
    </row>
    <row r="31" spans="1:93" x14ac:dyDescent="0.25">
      <c r="A31" s="23" t="s">
        <v>62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315C-EDAC-4623-864A-03FEDB5C7AA0}">
  <dimension ref="A1:AF29"/>
  <sheetViews>
    <sheetView showGridLines="0"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Z14" sqref="Z14"/>
    </sheetView>
  </sheetViews>
  <sheetFormatPr baseColWidth="10" defaultRowHeight="10.5" customHeight="1" x14ac:dyDescent="0.2"/>
  <cols>
    <col min="1" max="1" width="19.5703125" style="35" customWidth="1"/>
    <col min="2" max="3" width="6.140625" style="1" customWidth="1"/>
    <col min="4" max="4" width="6.42578125" style="1" customWidth="1"/>
    <col min="5" max="5" width="6.140625" style="1" customWidth="1"/>
    <col min="6" max="6" width="6.7109375" style="1" customWidth="1"/>
    <col min="7" max="7" width="6.140625" style="1" customWidth="1"/>
    <col min="8" max="8" width="5.5703125" style="1" customWidth="1"/>
    <col min="9" max="9" width="6.5703125" style="1" customWidth="1"/>
    <col min="10" max="10" width="6.7109375" style="1" customWidth="1"/>
    <col min="11" max="11" width="6.5703125" style="1" customWidth="1"/>
    <col min="12" max="13" width="6.7109375" style="1" customWidth="1"/>
    <col min="14" max="21" width="8.85546875" style="1" customWidth="1"/>
    <col min="22" max="22" width="12.5703125" style="1" customWidth="1"/>
    <col min="23" max="23" width="11.42578125" style="1"/>
    <col min="24" max="24" width="10.85546875" style="1" bestFit="1" customWidth="1"/>
    <col min="25" max="26" width="6.42578125" style="1" bestFit="1" customWidth="1"/>
    <col min="27" max="28" width="6.28515625" style="1" bestFit="1" customWidth="1"/>
    <col min="29" max="29" width="6.42578125" style="1" bestFit="1" customWidth="1"/>
    <col min="30" max="32" width="6.28515625" style="1" bestFit="1" customWidth="1"/>
    <col min="33" max="16384" width="11.42578125" style="1"/>
  </cols>
  <sheetData>
    <row r="1" spans="1:32" ht="10.5" customHeight="1" x14ac:dyDescent="0.2">
      <c r="A1" s="63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X1" s="66" t="s">
        <v>49</v>
      </c>
      <c r="Y1" s="66"/>
      <c r="Z1" s="66"/>
      <c r="AA1" s="66"/>
      <c r="AB1" s="66"/>
      <c r="AC1" s="66"/>
      <c r="AD1" s="66"/>
      <c r="AE1" s="66"/>
      <c r="AF1" s="66"/>
    </row>
    <row r="2" spans="1:32" ht="10.5" customHeight="1" x14ac:dyDescent="0.2">
      <c r="A2" s="27" t="s">
        <v>37</v>
      </c>
      <c r="B2" s="28">
        <v>45658</v>
      </c>
      <c r="C2" s="29">
        <v>45689</v>
      </c>
      <c r="D2" s="29">
        <v>45717</v>
      </c>
      <c r="E2" s="29">
        <v>45748</v>
      </c>
      <c r="F2" s="29">
        <v>45778</v>
      </c>
      <c r="G2" s="29">
        <v>45809</v>
      </c>
      <c r="H2" s="29">
        <v>45839</v>
      </c>
      <c r="I2" s="29">
        <v>45870</v>
      </c>
      <c r="J2" s="29">
        <v>45901</v>
      </c>
      <c r="K2" s="29">
        <v>45931</v>
      </c>
      <c r="L2" s="29">
        <v>45962</v>
      </c>
      <c r="M2" s="30">
        <v>45992</v>
      </c>
      <c r="N2" s="31">
        <v>46023</v>
      </c>
      <c r="O2" s="31">
        <v>46054</v>
      </c>
      <c r="P2" s="31">
        <v>46082</v>
      </c>
      <c r="Q2" s="31">
        <v>46113</v>
      </c>
      <c r="R2" s="31">
        <v>46143</v>
      </c>
      <c r="S2" s="31">
        <v>46174</v>
      </c>
      <c r="T2" s="31">
        <v>46204</v>
      </c>
      <c r="U2" s="31">
        <v>46235</v>
      </c>
      <c r="V2" s="40" t="s">
        <v>61</v>
      </c>
      <c r="X2" s="32" t="s">
        <v>47</v>
      </c>
      <c r="Y2" s="33">
        <v>46023</v>
      </c>
      <c r="Z2" s="33">
        <v>46054</v>
      </c>
      <c r="AA2" s="33">
        <v>46082</v>
      </c>
      <c r="AB2" s="33">
        <v>46113</v>
      </c>
      <c r="AC2" s="33">
        <v>46143</v>
      </c>
      <c r="AD2" s="33">
        <v>46174</v>
      </c>
      <c r="AE2" s="33">
        <v>46204</v>
      </c>
      <c r="AF2" s="33">
        <v>46235</v>
      </c>
    </row>
    <row r="3" spans="1:32" ht="11.25" x14ac:dyDescent="0.2">
      <c r="A3" s="34" t="s">
        <v>48</v>
      </c>
      <c r="B3" s="42">
        <v>7.130187007701605E-2</v>
      </c>
      <c r="C3" s="47">
        <v>-0.10588255601797725</v>
      </c>
      <c r="D3" s="47">
        <v>-0.17301469278740778</v>
      </c>
      <c r="E3" s="43">
        <v>3.3212501894780422E-2</v>
      </c>
      <c r="F3" s="43">
        <v>0.17106917094582008</v>
      </c>
      <c r="G3" s="43">
        <v>5.1063738001111858E-2</v>
      </c>
      <c r="H3" s="43">
        <v>0.10706871805279383</v>
      </c>
      <c r="I3" s="43">
        <v>5.4955181161185029E-2</v>
      </c>
      <c r="J3" s="43">
        <v>6.9543693661700656E-2</v>
      </c>
      <c r="K3" s="47">
        <v>-4.2480917563546772E-2</v>
      </c>
      <c r="L3" s="47">
        <v>-3.945452664951532E-2</v>
      </c>
      <c r="M3" s="44">
        <v>9.7699656824344228E-2</v>
      </c>
      <c r="N3" s="43">
        <v>4.4092053769388739E-2</v>
      </c>
      <c r="O3" s="43">
        <v>7.6877565070738951E-2</v>
      </c>
      <c r="P3" s="47">
        <v>-4.8949755625506297E-2</v>
      </c>
      <c r="Q3" s="47">
        <v>-2.5402168716356033E-2</v>
      </c>
      <c r="R3" s="47">
        <v>-0.13378777583762058</v>
      </c>
      <c r="S3" s="43">
        <v>2.0723202885411851E-2</v>
      </c>
      <c r="T3" s="47">
        <v>-8.5423057329198082E-2</v>
      </c>
      <c r="U3" s="41" t="s">
        <v>24</v>
      </c>
      <c r="V3" s="50">
        <v>-2.4880869626370372E-2</v>
      </c>
      <c r="X3" s="35" t="s">
        <v>41</v>
      </c>
      <c r="Y3" s="36">
        <f>II.BB!CH26/TOTAL!CH26</f>
        <v>0.77662364323747946</v>
      </c>
      <c r="Z3" s="36">
        <f>II.BB!CI26/TOTAL!CI26</f>
        <v>0.7302725759699914</v>
      </c>
      <c r="AA3" s="36">
        <f>II.BB!CJ26/TOTAL!CJ26</f>
        <v>0.73800504730923733</v>
      </c>
      <c r="AB3" s="36">
        <f>II.BB!CK26/TOTAL!CK26</f>
        <v>0.76526629756388509</v>
      </c>
      <c r="AC3" s="36">
        <f>II.BB!CL26/TOTAL!CL26</f>
        <v>0.78638134085240508</v>
      </c>
      <c r="AD3" s="36">
        <f>II.BB!CM26/TOTAL!CM26</f>
        <v>0.77382944560483524</v>
      </c>
      <c r="AE3" s="36">
        <f>II.BB!CN26/TOTAL!CN26</f>
        <v>0.79604201944045816</v>
      </c>
      <c r="AF3" s="36">
        <f>II.BB!CO26/TOTAL!CO26</f>
        <v>0.77936087425808054</v>
      </c>
    </row>
    <row r="4" spans="1:32" ht="10.5" customHeight="1" x14ac:dyDescent="0.2">
      <c r="A4" s="34" t="s">
        <v>2</v>
      </c>
      <c r="B4" s="48">
        <v>-0.1531750278484062</v>
      </c>
      <c r="C4" s="47">
        <v>-2.9163640832831628E-2</v>
      </c>
      <c r="D4" s="47">
        <v>-6.2577084710782382E-2</v>
      </c>
      <c r="E4" s="43">
        <v>1.6169695845910992E-2</v>
      </c>
      <c r="F4" s="43">
        <v>1.951531619583724E-2</v>
      </c>
      <c r="G4" s="47">
        <v>-2.6159790458295418E-2</v>
      </c>
      <c r="H4" s="43">
        <v>4.310658132970091E-2</v>
      </c>
      <c r="I4" s="43">
        <v>5.8247318397102843E-2</v>
      </c>
      <c r="J4" s="43">
        <v>5.8002136369001089E-2</v>
      </c>
      <c r="K4" s="43">
        <v>0.14752105861339104</v>
      </c>
      <c r="L4" s="43">
        <v>8.5228747797680082E-2</v>
      </c>
      <c r="M4" s="44">
        <v>3.2828849590869291E-2</v>
      </c>
      <c r="N4" s="43">
        <v>0.1653340744303482</v>
      </c>
      <c r="O4" s="47">
        <v>-4.7713532398595215E-2</v>
      </c>
      <c r="P4" s="47">
        <v>-6.0666181415764964E-2</v>
      </c>
      <c r="Q4" s="47">
        <v>-8.7875356283664829E-2</v>
      </c>
      <c r="R4" s="47">
        <v>-0.10696324875420471</v>
      </c>
      <c r="S4" s="47">
        <v>-7.7705011859241724E-2</v>
      </c>
      <c r="T4" s="47">
        <v>-6.7732832317302538E-2</v>
      </c>
      <c r="U4" s="47">
        <v>-0.1182750390870192</v>
      </c>
      <c r="V4" s="50">
        <v>-4.9990683121443169E-2</v>
      </c>
      <c r="X4" s="35" t="s">
        <v>42</v>
      </c>
      <c r="Y4" s="36">
        <f>INMOBILIARIO!CH26/TOTAL!CH26</f>
        <v>6.8983782684628528E-2</v>
      </c>
      <c r="Z4" s="36">
        <f>INMOBILIARIO!CI26/TOTAL!CI26</f>
        <v>0.1156041791463847</v>
      </c>
      <c r="AA4" s="36">
        <f>INMOBILIARIO!CJ26/TOTAL!CJ26</f>
        <v>7.9237219175185641E-2</v>
      </c>
      <c r="AB4" s="36">
        <f>INMOBILIARIO!CK26/TOTAL!CK26</f>
        <v>6.604740579515736E-2</v>
      </c>
      <c r="AC4" s="36">
        <f>INMOBILIARIO!CL26/TOTAL!CL26</f>
        <v>6.1210214820349169E-2</v>
      </c>
      <c r="AD4" s="36">
        <f>INMOBILIARIO!CM26/TOTAL!CM26</f>
        <v>7.2538633905833552E-2</v>
      </c>
      <c r="AE4" s="36">
        <f>INMOBILIARIO!CN26/TOTAL!CN26</f>
        <v>4.4017728786409097E-2</v>
      </c>
      <c r="AF4" s="36">
        <f>INMOBILIARIO!CO26/TOTAL!CO26</f>
        <v>6.2316524918081075E-2</v>
      </c>
    </row>
    <row r="5" spans="1:32" ht="10.5" customHeight="1" x14ac:dyDescent="0.2">
      <c r="A5" s="34" t="s">
        <v>23</v>
      </c>
      <c r="B5" s="42">
        <v>0.1026836267822171</v>
      </c>
      <c r="C5" s="47">
        <v>-4.0960162804161926E-2</v>
      </c>
      <c r="D5" s="47">
        <v>-4.0716089463306293E-3</v>
      </c>
      <c r="E5" s="43">
        <v>3.6278667187188196E-2</v>
      </c>
      <c r="F5" s="43">
        <v>6.5350568098885287E-3</v>
      </c>
      <c r="G5" s="47">
        <v>-1.1714657650767624E-3</v>
      </c>
      <c r="H5" s="43">
        <v>6.2160987865926831E-2</v>
      </c>
      <c r="I5" s="47">
        <v>-1.8894629581217792E-2</v>
      </c>
      <c r="J5" s="47">
        <v>-1.7071220480910032E-2</v>
      </c>
      <c r="K5" s="47">
        <v>-1.0211060738092637E-2</v>
      </c>
      <c r="L5" s="47">
        <v>-0.14815022130589062</v>
      </c>
      <c r="M5" s="49">
        <v>-0.11747699785892873</v>
      </c>
      <c r="N5" s="47">
        <v>-3.8979608356180084E-2</v>
      </c>
      <c r="O5" s="47">
        <v>-4.0713452776060755E-2</v>
      </c>
      <c r="P5" s="43">
        <v>1.3183878398681514E-2</v>
      </c>
      <c r="Q5" s="43">
        <v>3.7326080052458188E-2</v>
      </c>
      <c r="R5" s="47">
        <v>-9.2479527751264556E-2</v>
      </c>
      <c r="S5" s="47">
        <v>-4.2289511433611815E-2</v>
      </c>
      <c r="T5" s="43">
        <v>2.5895448476656924E-2</v>
      </c>
      <c r="U5" s="47">
        <v>-4.8963799716567058E-2</v>
      </c>
      <c r="V5" s="50">
        <v>-2.4062499888523825E-2</v>
      </c>
      <c r="X5" s="35" t="s">
        <v>44</v>
      </c>
      <c r="Y5" s="36">
        <f>AUTOMOTOR!CH26/TOTAL!CH26</f>
        <v>2.1633655889135104E-2</v>
      </c>
      <c r="Z5" s="36">
        <f>AUTOMOTOR!CI26/TOTAL!CI26</f>
        <v>4.1472199173932515E-2</v>
      </c>
      <c r="AA5" s="36">
        <f>AUTOMOTOR!CJ26/TOTAL!CJ26</f>
        <v>6.2080744921354146E-2</v>
      </c>
      <c r="AB5" s="36">
        <f>AUTOMOTOR!CK26/TOTAL!CK26</f>
        <v>5.1642700728595753E-2</v>
      </c>
      <c r="AC5" s="36">
        <f>AUTOMOTOR!CL26/TOTAL!CL26</f>
        <v>3.4070353773676787E-2</v>
      </c>
      <c r="AD5" s="36">
        <f>AUTOMOTOR!CM26/TOTAL!CM26</f>
        <v>4.14686576597076E-2</v>
      </c>
      <c r="AE5" s="36">
        <f>AUTOMOTOR!CN26/TOTAL!CN26</f>
        <v>3.8046358014277651E-2</v>
      </c>
      <c r="AF5" s="36">
        <f>AUTOMOTOR!CO26/TOTAL!CO26</f>
        <v>4.9071631059404625E-2</v>
      </c>
    </row>
    <row r="6" spans="1:32" ht="10.5" customHeight="1" x14ac:dyDescent="0.2">
      <c r="A6" s="34" t="s">
        <v>5</v>
      </c>
      <c r="B6" s="42">
        <v>0.18341350213098928</v>
      </c>
      <c r="C6" s="43">
        <v>0.14647392852311092</v>
      </c>
      <c r="D6" s="43">
        <v>5.7768699984589666E-2</v>
      </c>
      <c r="E6" s="43">
        <v>0.12522225025435119</v>
      </c>
      <c r="F6" s="43">
        <v>0.1565157204472869</v>
      </c>
      <c r="G6" s="43">
        <v>5.4809442477595338E-2</v>
      </c>
      <c r="H6" s="43">
        <v>1.3639905544098774E-2</v>
      </c>
      <c r="I6" s="43">
        <v>1.5145907452687624E-2</v>
      </c>
      <c r="J6" s="47">
        <v>-4.7210835591509737E-2</v>
      </c>
      <c r="K6" s="43">
        <v>2.0577087254796123E-3</v>
      </c>
      <c r="L6" s="47">
        <v>-5.3166830710619672E-2</v>
      </c>
      <c r="M6" s="44">
        <v>2.1747622836121305E-3</v>
      </c>
      <c r="N6" s="43">
        <v>4.5227855655057381E-2</v>
      </c>
      <c r="O6" s="47">
        <v>-6.5614792820661849E-3</v>
      </c>
      <c r="P6" s="47">
        <v>-1.9654715712397075E-2</v>
      </c>
      <c r="Q6" s="47">
        <v>-2.5248933340661917E-2</v>
      </c>
      <c r="R6" s="47">
        <v>-9.3983963218295052E-2</v>
      </c>
      <c r="S6" s="47">
        <v>-2.6072547867034168E-2</v>
      </c>
      <c r="T6" s="43">
        <v>3.0171120442634924E-2</v>
      </c>
      <c r="U6" s="47">
        <v>-3.8488958167476217E-2</v>
      </c>
      <c r="V6" s="50">
        <v>-1.58998714301406E-2</v>
      </c>
      <c r="X6" s="35" t="s">
        <v>43</v>
      </c>
      <c r="Y6" s="36">
        <f>SELLOS!CH26/TOTAL!CH26</f>
        <v>9.505858036749866E-2</v>
      </c>
      <c r="Z6" s="36">
        <f>SELLOS!CI26/TOTAL!CI26</f>
        <v>8.3645191299722185E-2</v>
      </c>
      <c r="AA6" s="36">
        <f>SELLOS!CJ26/TOTAL!CJ26</f>
        <v>9.1760162697510694E-2</v>
      </c>
      <c r="AB6" s="36">
        <f>SELLOS!CK26/TOTAL!CK26</f>
        <v>8.8567146282956144E-2</v>
      </c>
      <c r="AC6" s="36">
        <f>SELLOS!CL26/TOTAL!CL26</f>
        <v>9.0530151907217749E-2</v>
      </c>
      <c r="AD6" s="36">
        <f>SELLOS!CM26/TOTAL!CM26</f>
        <v>8.3953341746016333E-2</v>
      </c>
      <c r="AE6" s="36">
        <f>SELLOS!CN26/TOTAL!CN26</f>
        <v>8.9824172569617028E-2</v>
      </c>
      <c r="AF6" s="36">
        <f>SELLOS!CO26/TOTAL!CO26</f>
        <v>8.6134814870117316E-2</v>
      </c>
    </row>
    <row r="7" spans="1:32" ht="10.5" customHeight="1" x14ac:dyDescent="0.2">
      <c r="A7" s="34" t="s">
        <v>26</v>
      </c>
      <c r="B7" s="42">
        <v>7.8267077681948738E-2</v>
      </c>
      <c r="C7" s="47">
        <v>-5.2342509162593309E-2</v>
      </c>
      <c r="D7" s="43">
        <v>1.3538603730150145E-2</v>
      </c>
      <c r="E7" s="43">
        <v>2.3949380815457388E-2</v>
      </c>
      <c r="F7" s="43">
        <v>2.4775863222194161E-2</v>
      </c>
      <c r="G7" s="47">
        <v>-6.0705386432507336E-2</v>
      </c>
      <c r="H7" s="43">
        <v>0.11249342208199176</v>
      </c>
      <c r="I7" s="43">
        <v>9.756198893233492E-2</v>
      </c>
      <c r="J7" s="43">
        <v>9.1128971308020557E-2</v>
      </c>
      <c r="K7" s="43">
        <v>0.14907017942338752</v>
      </c>
      <c r="L7" s="47">
        <v>-3.4914092602315816E-2</v>
      </c>
      <c r="M7" s="44">
        <v>4.4768527520253176E-2</v>
      </c>
      <c r="N7" s="43">
        <v>0.16074103798135941</v>
      </c>
      <c r="O7" s="47">
        <v>-3.3616076815699336E-2</v>
      </c>
      <c r="P7" s="43">
        <v>7.2587778789285684E-2</v>
      </c>
      <c r="Q7" s="43">
        <v>2.0482145531120377E-2</v>
      </c>
      <c r="R7" s="47">
        <v>-3.4592050672075159E-2</v>
      </c>
      <c r="S7" s="47">
        <v>-5.6217223784784109E-2</v>
      </c>
      <c r="T7" s="43">
        <v>1.2309350748930026E-2</v>
      </c>
      <c r="U7" s="47">
        <v>-8.6342417513517677E-2</v>
      </c>
      <c r="V7" s="54">
        <v>8.4186517279687401E-3</v>
      </c>
      <c r="X7" s="35" t="s">
        <v>45</v>
      </c>
      <c r="Y7" s="36">
        <f>OTROS!CH26/TOTAL!CH26</f>
        <v>3.7700337821235393E-2</v>
      </c>
      <c r="Z7" s="36">
        <f>OTROS!CI26/TOTAL!CI26</f>
        <v>2.9005854409969306E-2</v>
      </c>
      <c r="AA7" s="36">
        <f>OTROS!CJ26/TOTAL!CJ26</f>
        <v>2.8916825896712139E-2</v>
      </c>
      <c r="AB7" s="36">
        <f>OTROS!CK26/TOTAL!CK26</f>
        <v>2.8476449629405574E-2</v>
      </c>
      <c r="AC7" s="36">
        <f>OTROS!CL26/TOTAL!CL26</f>
        <v>2.7807938646350901E-2</v>
      </c>
      <c r="AD7" s="36">
        <f>OTROS!CM26/TOTAL!CM26</f>
        <v>2.8209921083607647E-2</v>
      </c>
      <c r="AE7" s="36">
        <f>OTROS!CN26/TOTAL!CN26</f>
        <v>3.2069721189237968E-2</v>
      </c>
      <c r="AF7" s="36">
        <f>OTROS!CO26/TOTAL!CO26</f>
        <v>2.3116154894316353E-2</v>
      </c>
    </row>
    <row r="8" spans="1:32" ht="10.5" customHeight="1" x14ac:dyDescent="0.2">
      <c r="A8" s="34" t="s">
        <v>6</v>
      </c>
      <c r="B8" s="42">
        <v>2.9193641585260943E-2</v>
      </c>
      <c r="C8" s="43">
        <v>0.11741852094672489</v>
      </c>
      <c r="D8" s="43">
        <v>7.5876308431458872E-2</v>
      </c>
      <c r="E8" s="43">
        <v>9.6330983321154307E-2</v>
      </c>
      <c r="F8" s="43">
        <v>0.23036772177621634</v>
      </c>
      <c r="G8" s="43">
        <v>0.14815738265049117</v>
      </c>
      <c r="H8" s="43">
        <v>0.23021620887435268</v>
      </c>
      <c r="I8" s="43">
        <v>0.1679027960506525</v>
      </c>
      <c r="J8" s="43">
        <v>8.8731286657456998E-2</v>
      </c>
      <c r="K8" s="43">
        <v>0.13188446061561732</v>
      </c>
      <c r="L8" s="43">
        <v>4.3495133226875149E-2</v>
      </c>
      <c r="M8" s="44">
        <v>0.22822060407943678</v>
      </c>
      <c r="N8" s="43">
        <v>0.14661683642120127</v>
      </c>
      <c r="O8" s="47">
        <v>-0.12260134396639155</v>
      </c>
      <c r="P8" s="43">
        <v>1.6307137818521111E-2</v>
      </c>
      <c r="Q8" s="43">
        <v>4.8991926627467874E-2</v>
      </c>
      <c r="R8" s="47">
        <v>-4.2906467063505982E-3</v>
      </c>
      <c r="S8" s="47">
        <v>-5.4692312708259472E-2</v>
      </c>
      <c r="T8" s="47">
        <v>-0.120458894885481</v>
      </c>
      <c r="U8" s="47">
        <v>-0.15813956604802781</v>
      </c>
      <c r="V8" s="50">
        <v>-3.564262355870873E-2</v>
      </c>
      <c r="X8" s="37" t="s">
        <v>46</v>
      </c>
      <c r="Y8" s="38">
        <f t="shared" ref="Y8:Z8" si="0">SUM(Y3:Y7)</f>
        <v>0.99999999999997724</v>
      </c>
      <c r="Z8" s="38">
        <f t="shared" si="0"/>
        <v>1</v>
      </c>
      <c r="AA8" s="38">
        <f t="shared" ref="AA8:AB8" si="1">SUM(AA3:AA7)</f>
        <v>1</v>
      </c>
      <c r="AB8" s="38">
        <f t="shared" si="1"/>
        <v>0.99999999999999989</v>
      </c>
      <c r="AC8" s="38">
        <f t="shared" ref="AC8:AD8" si="2">SUM(AC3:AC7)</f>
        <v>0.99999999999999967</v>
      </c>
      <c r="AD8" s="38">
        <f t="shared" si="2"/>
        <v>1.0000000000000004</v>
      </c>
      <c r="AE8" s="38">
        <f t="shared" ref="AE8:AF8" si="3">SUM(AE3:AE7)</f>
        <v>1</v>
      </c>
      <c r="AF8" s="38">
        <f t="shared" si="3"/>
        <v>0.99999999999999989</v>
      </c>
    </row>
    <row r="9" spans="1:32" ht="10.5" customHeight="1" x14ac:dyDescent="0.2">
      <c r="A9" s="34" t="s">
        <v>52</v>
      </c>
      <c r="B9" s="42">
        <v>0.10649039219858225</v>
      </c>
      <c r="C9" s="43">
        <v>0.12738585865002983</v>
      </c>
      <c r="D9" s="43">
        <v>0.14855798024723765</v>
      </c>
      <c r="E9" s="43">
        <v>0.1765956473065704</v>
      </c>
      <c r="F9" s="43">
        <v>0.11095000306620806</v>
      </c>
      <c r="G9" s="43">
        <v>0.12117048560857202</v>
      </c>
      <c r="H9" s="43">
        <v>9.0467951169224348E-2</v>
      </c>
      <c r="I9" s="43">
        <v>4.4526964134748104E-2</v>
      </c>
      <c r="J9" s="43">
        <v>4.7455537381443369E-2</v>
      </c>
      <c r="K9" s="43">
        <v>2.7448770382487497E-2</v>
      </c>
      <c r="L9" s="47">
        <v>-6.2501209945995395E-2</v>
      </c>
      <c r="M9" s="49">
        <v>-4.5580274374948271E-2</v>
      </c>
      <c r="N9" s="47">
        <v>-3.6055144593369115E-2</v>
      </c>
      <c r="O9" s="47">
        <v>-8.1210207354608599E-2</v>
      </c>
      <c r="P9" s="47">
        <v>-7.39609233611499E-2</v>
      </c>
      <c r="Q9" s="43">
        <v>1.0701557900397285E-2</v>
      </c>
      <c r="R9" s="47">
        <v>-7.7850953306344617E-2</v>
      </c>
      <c r="S9" s="47">
        <v>-4.3021007992515847E-2</v>
      </c>
      <c r="T9" s="47">
        <v>-5.2016803581333981E-2</v>
      </c>
      <c r="U9" s="41" t="s">
        <v>24</v>
      </c>
      <c r="V9" s="50">
        <v>-4.9763986363495438E-2</v>
      </c>
    </row>
    <row r="10" spans="1:32" ht="10.5" customHeight="1" x14ac:dyDescent="0.2">
      <c r="A10" s="34" t="s">
        <v>7</v>
      </c>
      <c r="B10" s="42">
        <v>1.4480618001752266E-2</v>
      </c>
      <c r="C10" s="43">
        <v>2.9478801797465648E-2</v>
      </c>
      <c r="D10" s="43">
        <v>0.29871116905212958</v>
      </c>
      <c r="E10" s="43">
        <v>8.5367175029349207E-2</v>
      </c>
      <c r="F10" s="43">
        <v>7.4513484705351907E-2</v>
      </c>
      <c r="G10" s="43">
        <v>9.3137817332595185E-2</v>
      </c>
      <c r="H10" s="43">
        <v>8.9258805551082787E-2</v>
      </c>
      <c r="I10" s="43">
        <v>0.10341351499578688</v>
      </c>
      <c r="J10" s="43">
        <v>0.16504062430052402</v>
      </c>
      <c r="K10" s="43">
        <v>0.26459081655426964</v>
      </c>
      <c r="L10" s="43">
        <v>0.10331499831743507</v>
      </c>
      <c r="M10" s="44">
        <v>0.18851989979630424</v>
      </c>
      <c r="N10" s="43">
        <v>8.7110680480769975E-2</v>
      </c>
      <c r="O10" s="43">
        <v>0.29205460555820606</v>
      </c>
      <c r="P10" s="47">
        <v>-0.12497514825215683</v>
      </c>
      <c r="Q10" s="43">
        <v>0.20746223636703798</v>
      </c>
      <c r="R10" s="47">
        <v>-1.7316017354523927E-3</v>
      </c>
      <c r="S10" s="47">
        <v>-2.7881222656440996E-2</v>
      </c>
      <c r="T10" s="47">
        <v>-1.7904943928108485E-2</v>
      </c>
      <c r="U10" s="47">
        <v>-6.0966506066836956E-2</v>
      </c>
      <c r="V10" s="54">
        <v>3.4692606561401274E-2</v>
      </c>
    </row>
    <row r="11" spans="1:32" ht="10.5" customHeight="1" x14ac:dyDescent="0.2">
      <c r="A11" s="34" t="s">
        <v>8</v>
      </c>
      <c r="B11" s="42">
        <v>8.7858123735097271E-2</v>
      </c>
      <c r="C11" s="43">
        <v>0.40413651859676669</v>
      </c>
      <c r="D11" s="43">
        <v>0.18074567691981325</v>
      </c>
      <c r="E11" s="43">
        <v>0.32025830161500535</v>
      </c>
      <c r="F11" s="43">
        <v>0.23619726786417461</v>
      </c>
      <c r="G11" s="43">
        <v>8.5812212171908708E-2</v>
      </c>
      <c r="H11" s="43">
        <v>0.1809613606543754</v>
      </c>
      <c r="I11" s="43">
        <v>4.6836321316060081E-2</v>
      </c>
      <c r="J11" s="43">
        <v>7.2481107185016436E-2</v>
      </c>
      <c r="K11" s="43">
        <v>0.11130623335033318</v>
      </c>
      <c r="L11" s="47">
        <v>-3.0824673302447758E-2</v>
      </c>
      <c r="M11" s="49">
        <v>-4.0935996409258824E-2</v>
      </c>
      <c r="N11" s="43">
        <v>1.6930125172560651E-2</v>
      </c>
      <c r="O11" s="47">
        <v>-0.11298401220197951</v>
      </c>
      <c r="P11" s="47">
        <v>-0.10521526887284671</v>
      </c>
      <c r="Q11" s="47">
        <v>-5.775484650418039E-2</v>
      </c>
      <c r="R11" s="43">
        <v>3.7609909393790053E-2</v>
      </c>
      <c r="S11" s="43">
        <v>2.1671243803353946E-2</v>
      </c>
      <c r="T11" s="47">
        <v>-5.1300798291986638E-4</v>
      </c>
      <c r="U11" s="47">
        <v>-6.1815804714262512E-3</v>
      </c>
      <c r="V11" s="50">
        <v>-2.5792929553487109E-2</v>
      </c>
    </row>
    <row r="12" spans="1:32" ht="10.5" customHeight="1" x14ac:dyDescent="0.2">
      <c r="A12" s="34" t="s">
        <v>9</v>
      </c>
      <c r="B12" s="48">
        <v>-6.9048334551057855E-2</v>
      </c>
      <c r="C12" s="43">
        <v>0.11652344020904359</v>
      </c>
      <c r="D12" s="43">
        <v>6.8245977135195535E-2</v>
      </c>
      <c r="E12" s="43">
        <v>9.2348196484336453E-2</v>
      </c>
      <c r="F12" s="43">
        <v>0.16514133507303641</v>
      </c>
      <c r="G12" s="43">
        <v>0.13184956443382867</v>
      </c>
      <c r="H12" s="43">
        <v>0.12659784796088758</v>
      </c>
      <c r="I12" s="43">
        <v>0.25821000607612121</v>
      </c>
      <c r="J12" s="43">
        <v>4.7701273326773652E-2</v>
      </c>
      <c r="K12" s="43">
        <v>0.15406045307582472</v>
      </c>
      <c r="L12" s="43">
        <v>2.7791580837472241E-2</v>
      </c>
      <c r="M12" s="44">
        <v>6.2072134303843285E-2</v>
      </c>
      <c r="N12" s="43">
        <v>3.638311025984664E-2</v>
      </c>
      <c r="O12" s="47">
        <v>-1.8124423242777299E-2</v>
      </c>
      <c r="P12" s="43">
        <v>0.13095868552364331</v>
      </c>
      <c r="Q12" s="43">
        <v>0.12581873462425297</v>
      </c>
      <c r="R12" s="43">
        <v>2.6274556279887618E-2</v>
      </c>
      <c r="S12" s="43">
        <v>5.7991869977638277E-2</v>
      </c>
      <c r="T12" s="43">
        <v>5.7781650210185109E-2</v>
      </c>
      <c r="U12" s="47">
        <v>-2.6210035615288896E-2</v>
      </c>
      <c r="V12" s="54">
        <v>4.6001245913818156E-2</v>
      </c>
    </row>
    <row r="13" spans="1:32" ht="10.5" customHeight="1" x14ac:dyDescent="0.2">
      <c r="A13" s="34" t="s">
        <v>27</v>
      </c>
      <c r="B13" s="48">
        <v>-3.9578032865931423E-2</v>
      </c>
      <c r="C13" s="47">
        <v>-3.0401979557375003E-2</v>
      </c>
      <c r="D13" s="43">
        <v>2.8232425943341966E-3</v>
      </c>
      <c r="E13" s="43">
        <v>5.1047628934969724E-2</v>
      </c>
      <c r="F13" s="43">
        <v>8.1653858458665907E-2</v>
      </c>
      <c r="G13" s="43">
        <v>0.18058975748171679</v>
      </c>
      <c r="H13" s="43">
        <v>7.3569574414931393E-2</v>
      </c>
      <c r="I13" s="43">
        <v>0.14903708550518679</v>
      </c>
      <c r="J13" s="43">
        <v>0.18035813667707168</v>
      </c>
      <c r="K13" s="43">
        <v>0.11439851334234663</v>
      </c>
      <c r="L13" s="47">
        <v>-5.4863157413606034E-3</v>
      </c>
      <c r="M13" s="49">
        <v>-3.9460081616947362E-2</v>
      </c>
      <c r="N13" s="43">
        <v>5.1242287654816643E-2</v>
      </c>
      <c r="O13" s="47">
        <v>-0.18915016806949236</v>
      </c>
      <c r="P13" s="43">
        <v>0.23116560227580174</v>
      </c>
      <c r="Q13" s="43">
        <v>4.2966041295570578E-2</v>
      </c>
      <c r="R13" s="43">
        <v>1.4794780655444262E-2</v>
      </c>
      <c r="S13" s="43">
        <v>8.3601375077931639E-2</v>
      </c>
      <c r="T13" s="43">
        <v>3.5084298479355791E-2</v>
      </c>
      <c r="U13" s="41" t="s">
        <v>24</v>
      </c>
      <c r="V13" s="54">
        <v>3.6777456227867766E-2</v>
      </c>
    </row>
    <row r="14" spans="1:32" ht="10.5" customHeight="1" x14ac:dyDescent="0.2">
      <c r="A14" s="34" t="s">
        <v>10</v>
      </c>
      <c r="B14" s="42">
        <v>0.49440192784536818</v>
      </c>
      <c r="C14" s="43">
        <v>0.19789364192716263</v>
      </c>
      <c r="D14" s="43">
        <v>0.37365149275103948</v>
      </c>
      <c r="E14" s="43">
        <v>0.19696558028419719</v>
      </c>
      <c r="F14" s="43">
        <v>0.21370297555698525</v>
      </c>
      <c r="G14" s="43">
        <v>0.21263991194061016</v>
      </c>
      <c r="H14" s="43">
        <v>8.5852903901127098E-2</v>
      </c>
      <c r="I14" s="43">
        <v>9.2278793441459284E-2</v>
      </c>
      <c r="J14" s="43">
        <v>0.13298347976470715</v>
      </c>
      <c r="K14" s="47">
        <v>-7.7293938639550475E-2</v>
      </c>
      <c r="L14" s="47">
        <v>-0.1917234680810318</v>
      </c>
      <c r="M14" s="49">
        <v>-9.9648674294339878E-2</v>
      </c>
      <c r="N14" s="47">
        <v>-0.200182191589656</v>
      </c>
      <c r="O14" s="47">
        <v>-0.10758486494125685</v>
      </c>
      <c r="P14" s="47">
        <v>-0.14184424872088708</v>
      </c>
      <c r="Q14" s="47">
        <v>-6.5116598213096566E-2</v>
      </c>
      <c r="R14" s="47">
        <v>-8.6970567083237471E-2</v>
      </c>
      <c r="S14" s="47">
        <v>-7.8564231984807442E-2</v>
      </c>
      <c r="T14" s="47">
        <v>-0.12916895293975494</v>
      </c>
      <c r="U14" s="47">
        <v>-0.22545363981337163</v>
      </c>
      <c r="V14" s="50">
        <v>-0.13179139248310667</v>
      </c>
    </row>
    <row r="15" spans="1:32" ht="10.5" customHeight="1" x14ac:dyDescent="0.2">
      <c r="A15" s="34" t="s">
        <v>11</v>
      </c>
      <c r="B15" s="48">
        <v>-1.4900319105224269E-2</v>
      </c>
      <c r="C15" s="43">
        <v>3.560214924584737E-2</v>
      </c>
      <c r="D15" s="47">
        <v>-4.1449637428057295E-2</v>
      </c>
      <c r="E15" s="47">
        <v>-2.6738368258839573E-2</v>
      </c>
      <c r="F15" s="47">
        <v>-1.166405307902818E-2</v>
      </c>
      <c r="G15" s="47">
        <v>-1.9228844468006656E-2</v>
      </c>
      <c r="H15" s="43">
        <v>2.1094337395271667E-2</v>
      </c>
      <c r="I15" s="43">
        <v>3.2268070616519262E-2</v>
      </c>
      <c r="J15" s="43">
        <v>2.2583861718478593E-2</v>
      </c>
      <c r="K15" s="43">
        <v>1.0093837843466735E-2</v>
      </c>
      <c r="L15" s="47">
        <v>-1.5692023043682113E-2</v>
      </c>
      <c r="M15" s="49">
        <v>-1.9740800855393315E-2</v>
      </c>
      <c r="N15" s="43">
        <v>4.2078035739380848E-2</v>
      </c>
      <c r="O15" s="47">
        <v>-1.6267993131773628E-2</v>
      </c>
      <c r="P15" s="47">
        <v>-1.1269270664264752E-3</v>
      </c>
      <c r="Q15" s="43">
        <v>1.8085018974295819E-2</v>
      </c>
      <c r="R15" s="47">
        <v>-3.6320067481924401E-2</v>
      </c>
      <c r="S15" s="47">
        <v>-2.649042283945624E-2</v>
      </c>
      <c r="T15" s="47">
        <v>-5.6369633008372499E-2</v>
      </c>
      <c r="U15" s="47">
        <v>-8.8564190198396786E-2</v>
      </c>
      <c r="V15" s="50">
        <v>-2.1254325406067087E-2</v>
      </c>
    </row>
    <row r="16" spans="1:32" ht="10.5" customHeight="1" x14ac:dyDescent="0.2">
      <c r="A16" s="34" t="s">
        <v>12</v>
      </c>
      <c r="B16" s="42">
        <v>8.7541283988671115E-2</v>
      </c>
      <c r="C16" s="43">
        <v>5.0370011339016862E-2</v>
      </c>
      <c r="D16" s="47">
        <v>-8.7541936647533292E-2</v>
      </c>
      <c r="E16" s="47">
        <v>-6.1352579955690101E-2</v>
      </c>
      <c r="F16" s="47">
        <v>-1.2040385413410459E-2</v>
      </c>
      <c r="G16" s="47">
        <v>-6.4192371721760733E-3</v>
      </c>
      <c r="H16" s="47">
        <v>-5.6726916736585697E-2</v>
      </c>
      <c r="I16" s="47">
        <v>-0.12583359653233472</v>
      </c>
      <c r="J16" s="47">
        <v>-0.18188297603441073</v>
      </c>
      <c r="K16" s="47">
        <v>-0.11849631990064524</v>
      </c>
      <c r="L16" s="47">
        <v>-0.13387176137836088</v>
      </c>
      <c r="M16" s="49">
        <v>-0.1714444425603453</v>
      </c>
      <c r="N16" s="47">
        <v>-0.2326085040752508</v>
      </c>
      <c r="O16" s="47">
        <v>-0.23483952952571607</v>
      </c>
      <c r="P16" s="47">
        <v>-0.1852518407446202</v>
      </c>
      <c r="Q16" s="47">
        <v>-0.11876576089219759</v>
      </c>
      <c r="R16" s="47">
        <v>-0.23918037935860725</v>
      </c>
      <c r="S16" s="47">
        <v>-0.23979168871390921</v>
      </c>
      <c r="T16" s="47">
        <v>-0.16662886677969846</v>
      </c>
      <c r="U16" s="47">
        <v>-0.21465710657056269</v>
      </c>
      <c r="V16" s="50">
        <v>-0.20587372844735596</v>
      </c>
    </row>
    <row r="17" spans="1:22" ht="10.5" customHeight="1" x14ac:dyDescent="0.2">
      <c r="A17" s="34" t="s">
        <v>38</v>
      </c>
      <c r="B17" s="42">
        <v>5.165282653596126E-2</v>
      </c>
      <c r="C17" s="43">
        <v>1.1025642886751452E-2</v>
      </c>
      <c r="D17" s="47">
        <v>-2.5474570732347823E-2</v>
      </c>
      <c r="E17" s="43">
        <v>9.4460385538853275E-2</v>
      </c>
      <c r="F17" s="43">
        <v>3.0116877749580384E-2</v>
      </c>
      <c r="G17" s="43">
        <v>0.10453485229484039</v>
      </c>
      <c r="H17" s="43">
        <v>9.8285525842944255E-2</v>
      </c>
      <c r="I17" s="43">
        <v>0.11297797873204773</v>
      </c>
      <c r="J17" s="43">
        <v>2.3373756924800926E-2</v>
      </c>
      <c r="K17" s="43">
        <v>0.1195016358537333</v>
      </c>
      <c r="L17" s="43">
        <v>2.8405524077329769E-2</v>
      </c>
      <c r="M17" s="44">
        <v>0.13754817024182286</v>
      </c>
      <c r="N17" s="43">
        <v>1.0811836639153194E-2</v>
      </c>
      <c r="O17" s="43">
        <v>8.3631212424920998E-2</v>
      </c>
      <c r="P17" s="43">
        <v>1.9677744328959079E-2</v>
      </c>
      <c r="Q17" s="43">
        <v>7.1130548474035882E-2</v>
      </c>
      <c r="R17" s="43">
        <v>0.1524597054381116</v>
      </c>
      <c r="S17" s="43">
        <v>8.3135558337438908E-2</v>
      </c>
      <c r="T17" s="43">
        <v>9.7817212379043506E-2</v>
      </c>
      <c r="U17" s="41" t="s">
        <v>24</v>
      </c>
      <c r="V17" s="54">
        <v>7.4420136601606179E-2</v>
      </c>
    </row>
    <row r="18" spans="1:22" ht="10.5" customHeight="1" x14ac:dyDescent="0.2">
      <c r="A18" s="34" t="s">
        <v>14</v>
      </c>
      <c r="B18" s="42">
        <v>0.21615302323095409</v>
      </c>
      <c r="C18" s="43">
        <v>0.29101575142046321</v>
      </c>
      <c r="D18" s="43">
        <v>0.28680917326884425</v>
      </c>
      <c r="E18" s="43">
        <v>0.21716001459064471</v>
      </c>
      <c r="F18" s="43">
        <v>0.34372036013780316</v>
      </c>
      <c r="G18" s="43">
        <v>0.20494066736782846</v>
      </c>
      <c r="H18" s="43">
        <v>0.13935878297692295</v>
      </c>
      <c r="I18" s="43">
        <v>0.2130430050992913</v>
      </c>
      <c r="J18" s="43">
        <v>0.1751988886419793</v>
      </c>
      <c r="K18" s="43">
        <v>0.25059578899021107</v>
      </c>
      <c r="L18" s="43">
        <v>0.11763395703180324</v>
      </c>
      <c r="M18" s="44">
        <v>0.12826960205944715</v>
      </c>
      <c r="N18" s="43">
        <v>0.12102469177419684</v>
      </c>
      <c r="O18" s="47">
        <v>-7.4960212535334358E-3</v>
      </c>
      <c r="P18" s="43">
        <v>0.12005214584561252</v>
      </c>
      <c r="Q18" s="43">
        <v>0.11493614632600035</v>
      </c>
      <c r="R18" s="47">
        <v>-6.3699760336558886E-2</v>
      </c>
      <c r="S18" s="43">
        <v>2.4820130050603462E-2</v>
      </c>
      <c r="T18" s="43">
        <v>7.1993650547977905E-2</v>
      </c>
      <c r="U18" s="47">
        <v>-1.8070740781635841E-2</v>
      </c>
      <c r="V18" s="54">
        <v>4.2408881329058179E-2</v>
      </c>
    </row>
    <row r="19" spans="1:22" ht="10.5" customHeight="1" x14ac:dyDescent="0.2">
      <c r="A19" s="34" t="s">
        <v>15</v>
      </c>
      <c r="B19" s="48">
        <v>-1.4534992719446138E-2</v>
      </c>
      <c r="C19" s="47">
        <v>-5.8350385799114668E-2</v>
      </c>
      <c r="D19" s="47">
        <v>-0.13139806088667616</v>
      </c>
      <c r="E19" s="47">
        <v>-0.1451584942409605</v>
      </c>
      <c r="F19" s="47">
        <v>-5.5899251892379986E-2</v>
      </c>
      <c r="G19" s="47">
        <v>-5.0507316358204379E-2</v>
      </c>
      <c r="H19" s="47">
        <v>-5.2581913136875214E-2</v>
      </c>
      <c r="I19" s="47">
        <v>-5.0678506471832918E-3</v>
      </c>
      <c r="J19" s="47">
        <v>-0.12269266994548578</v>
      </c>
      <c r="K19" s="47">
        <v>-7.5174031367871152E-2</v>
      </c>
      <c r="L19" s="47">
        <v>-7.8432072932959174E-2</v>
      </c>
      <c r="M19" s="49">
        <v>-6.5438437295680885E-2</v>
      </c>
      <c r="N19" s="47">
        <v>-5.9313247265044389E-2</v>
      </c>
      <c r="O19" s="47">
        <v>-5.3620595203442756E-2</v>
      </c>
      <c r="P19" s="47">
        <v>-8.1628584664798831E-2</v>
      </c>
      <c r="Q19" s="47">
        <v>-3.5685952520125963E-2</v>
      </c>
      <c r="R19" s="47">
        <v>-0.12377124219558555</v>
      </c>
      <c r="S19" s="47">
        <v>-8.4276532366379109E-2</v>
      </c>
      <c r="T19" s="41" t="s">
        <v>24</v>
      </c>
      <c r="U19" s="41" t="s">
        <v>24</v>
      </c>
      <c r="V19" s="50">
        <v>-7.3262348285887402E-2</v>
      </c>
    </row>
    <row r="20" spans="1:22" ht="10.5" customHeight="1" x14ac:dyDescent="0.2">
      <c r="A20" s="34" t="s">
        <v>16</v>
      </c>
      <c r="B20" s="42">
        <v>9.9091772833781455E-4</v>
      </c>
      <c r="C20" s="43">
        <v>2.2556792572461681E-2</v>
      </c>
      <c r="D20" s="47">
        <v>-5.2278899381719146E-4</v>
      </c>
      <c r="E20" s="47">
        <v>0.13011740288669849</v>
      </c>
      <c r="F20" s="47">
        <v>-1.5548166836422128E-3</v>
      </c>
      <c r="G20" s="43">
        <v>7.5818262679092641E-2</v>
      </c>
      <c r="H20" s="43">
        <v>4.6668806900285187E-3</v>
      </c>
      <c r="I20" s="43">
        <v>7.0368353583343257E-2</v>
      </c>
      <c r="J20" s="43">
        <v>9.6761243194061208E-2</v>
      </c>
      <c r="K20" s="43">
        <v>0.14946611720725245</v>
      </c>
      <c r="L20" s="43">
        <v>8.0265304304517171E-2</v>
      </c>
      <c r="M20" s="44">
        <v>0.15466236224312935</v>
      </c>
      <c r="N20" s="43">
        <v>7.9249515639653767E-2</v>
      </c>
      <c r="O20" s="43">
        <v>2.6272757019409898E-2</v>
      </c>
      <c r="P20" s="43">
        <v>3.9050187532801983E-2</v>
      </c>
      <c r="Q20" s="43">
        <v>0.10730656716062215</v>
      </c>
      <c r="R20" s="47">
        <v>-0.15157028544456985</v>
      </c>
      <c r="S20" s="47">
        <v>-2.6527527427255504E-2</v>
      </c>
      <c r="T20" s="47">
        <v>-6.7400059825300285E-2</v>
      </c>
      <c r="U20" s="47">
        <v>-7.6950715972174955E-2</v>
      </c>
      <c r="V20" s="50">
        <v>-1.2391419956188199E-2</v>
      </c>
    </row>
    <row r="21" spans="1:22" ht="10.5" customHeight="1" x14ac:dyDescent="0.2">
      <c r="A21" s="34" t="s">
        <v>17</v>
      </c>
      <c r="B21" s="42">
        <v>7.3002000999539352E-2</v>
      </c>
      <c r="C21" s="43">
        <v>9.6674182046109669E-2</v>
      </c>
      <c r="D21" s="43">
        <v>9.4567392343438694E-2</v>
      </c>
      <c r="E21" s="43">
        <v>3.9714828243918365E-2</v>
      </c>
      <c r="F21" s="47">
        <v>-3.2453336183951742E-2</v>
      </c>
      <c r="G21" s="43">
        <v>2.588761220988034E-2</v>
      </c>
      <c r="H21" s="43">
        <v>2.7585762126089541E-2</v>
      </c>
      <c r="I21" s="43">
        <v>4.0938200542397496E-2</v>
      </c>
      <c r="J21" s="43">
        <v>2.6548076199960136E-2</v>
      </c>
      <c r="K21" s="43">
        <v>3.9488089230134582E-2</v>
      </c>
      <c r="L21" s="43">
        <v>3.7723237212639038E-3</v>
      </c>
      <c r="M21" s="44">
        <v>2.6254014656644786E-2</v>
      </c>
      <c r="N21" s="47">
        <v>-3.0982391840810308E-2</v>
      </c>
      <c r="O21" s="43">
        <v>0.24721459987843653</v>
      </c>
      <c r="P21" s="47">
        <v>-0.13110067359080091</v>
      </c>
      <c r="Q21" s="43">
        <v>2.611959498480565E-2</v>
      </c>
      <c r="R21" s="47">
        <v>-3.236920874452387E-2</v>
      </c>
      <c r="S21" s="47">
        <v>-2.4709891941656181E-2</v>
      </c>
      <c r="T21" s="47">
        <v>-6.4751945362625518E-2</v>
      </c>
      <c r="U21" s="47">
        <v>-2.7231290009353426E-2</v>
      </c>
      <c r="V21" s="50">
        <v>-7.7004538315973425E-3</v>
      </c>
    </row>
    <row r="22" spans="1:22" ht="10.5" customHeight="1" x14ac:dyDescent="0.2">
      <c r="A22" s="34" t="s">
        <v>18</v>
      </c>
      <c r="B22" s="42">
        <v>6.7223675972668095E-2</v>
      </c>
      <c r="C22" s="47">
        <v>-3.0349442533987192E-2</v>
      </c>
      <c r="D22" s="47">
        <v>-6.2025740810150221E-2</v>
      </c>
      <c r="E22" s="47">
        <v>-6.3816321841656864E-2</v>
      </c>
      <c r="F22" s="47">
        <v>-3.1091019028804956E-3</v>
      </c>
      <c r="G22" s="47">
        <v>-7.5133773879667132E-2</v>
      </c>
      <c r="H22" s="47">
        <v>-8.5108858043379199E-2</v>
      </c>
      <c r="I22" s="47">
        <v>-4.6040115755425437E-2</v>
      </c>
      <c r="J22" s="47">
        <v>-8.6327964015778358E-2</v>
      </c>
      <c r="K22" s="47">
        <v>-0.11506646193512871</v>
      </c>
      <c r="L22" s="47">
        <v>-0.17115733847486692</v>
      </c>
      <c r="M22" s="49">
        <v>-6.5856575970986708E-2</v>
      </c>
      <c r="N22" s="43">
        <v>9.1741133100826877E-2</v>
      </c>
      <c r="O22" s="47">
        <v>-9.2350340534836151E-2</v>
      </c>
      <c r="P22" s="47">
        <v>-0.12142572132050922</v>
      </c>
      <c r="Q22" s="43">
        <v>6.0413433916028936E-3</v>
      </c>
      <c r="R22" s="47">
        <v>-0.11445949281093215</v>
      </c>
      <c r="S22" s="43">
        <v>1.9148608812607382E-2</v>
      </c>
      <c r="T22" s="47">
        <v>-4.6381364854544471E-2</v>
      </c>
      <c r="U22" s="41" t="s">
        <v>24</v>
      </c>
      <c r="V22" s="50">
        <v>-3.5171271210860278E-2</v>
      </c>
    </row>
    <row r="23" spans="1:22" ht="10.5" customHeight="1" x14ac:dyDescent="0.2">
      <c r="A23" s="34" t="s">
        <v>19</v>
      </c>
      <c r="B23" s="42">
        <v>1.3812497729225548E-2</v>
      </c>
      <c r="C23" s="43">
        <v>0.1415780296227187</v>
      </c>
      <c r="D23" s="47">
        <v>-8.1624784248524374E-2</v>
      </c>
      <c r="E23" s="43">
        <v>3.1006471273629765E-2</v>
      </c>
      <c r="F23" s="43">
        <v>5.7709596056413126E-2</v>
      </c>
      <c r="G23" s="43">
        <v>9.1890207984565597E-2</v>
      </c>
      <c r="H23" s="43">
        <v>0.14930981449028313</v>
      </c>
      <c r="I23" s="43">
        <v>0.10688779479416755</v>
      </c>
      <c r="J23" s="43">
        <v>0.11977991284235801</v>
      </c>
      <c r="K23" s="43">
        <v>0.16776117053017425</v>
      </c>
      <c r="L23" s="43">
        <v>8.4898826505943603E-3</v>
      </c>
      <c r="M23" s="44">
        <v>0.10033011612309295</v>
      </c>
      <c r="N23" s="43">
        <v>8.917813523595175E-2</v>
      </c>
      <c r="O23" s="47">
        <v>-1.3840351241950377E-2</v>
      </c>
      <c r="P23" s="43">
        <v>1.484193965160796E-2</v>
      </c>
      <c r="Q23" s="43">
        <v>2.0880557489002305E-2</v>
      </c>
      <c r="R23" s="47">
        <v>-5.2170798238851734E-2</v>
      </c>
      <c r="S23" s="47">
        <v>-8.6350663795448312E-2</v>
      </c>
      <c r="T23" s="41" t="s">
        <v>24</v>
      </c>
      <c r="U23" s="41" t="s">
        <v>24</v>
      </c>
      <c r="V23" s="50">
        <v>-6.8722919165519203E-3</v>
      </c>
    </row>
    <row r="24" spans="1:22" ht="10.5" customHeight="1" x14ac:dyDescent="0.2">
      <c r="A24" s="34" t="s">
        <v>57</v>
      </c>
      <c r="B24" s="42">
        <v>0.10486898276060197</v>
      </c>
      <c r="C24" s="43">
        <v>5.5941672242212137E-2</v>
      </c>
      <c r="D24" s="47">
        <v>-3.3967604464291368E-2</v>
      </c>
      <c r="E24" s="43">
        <v>0.14126950713925868</v>
      </c>
      <c r="F24" s="43">
        <v>0.15773912951991464</v>
      </c>
      <c r="G24" s="43">
        <v>0.21953538909414649</v>
      </c>
      <c r="H24" s="43">
        <v>0.1375588957311511</v>
      </c>
      <c r="I24" s="43">
        <v>5.9232549110949106E-2</v>
      </c>
      <c r="J24" s="43">
        <v>9.0768392232570161E-2</v>
      </c>
      <c r="K24" s="43">
        <v>0.10473431998544291</v>
      </c>
      <c r="L24" s="43">
        <v>0.13921625259804293</v>
      </c>
      <c r="M24" s="44">
        <v>9.1638903252142523E-2</v>
      </c>
      <c r="N24" s="47">
        <v>-2.4904848439975313E-2</v>
      </c>
      <c r="O24" s="47">
        <v>-2.450611872700259E-2</v>
      </c>
      <c r="P24" s="43">
        <v>0.1085055894561322</v>
      </c>
      <c r="Q24" s="47">
        <v>-0.18591626289368945</v>
      </c>
      <c r="R24" s="43">
        <v>8.9252131293101389E-2</v>
      </c>
      <c r="S24" s="43">
        <v>0.10837081975542739</v>
      </c>
      <c r="T24" s="43">
        <v>8.0444168433261742E-2</v>
      </c>
      <c r="U24" s="43">
        <v>0.10126237804125982</v>
      </c>
      <c r="V24" s="54">
        <v>2.9410964725658628E-2</v>
      </c>
    </row>
    <row r="25" spans="1:22" ht="10.5" customHeight="1" x14ac:dyDescent="0.2">
      <c r="A25" s="34" t="s">
        <v>39</v>
      </c>
      <c r="B25" s="48">
        <v>-4.1304588535521325E-2</v>
      </c>
      <c r="C25" s="43">
        <v>0.10288212327890833</v>
      </c>
      <c r="D25" s="47">
        <v>-0.13583980617511027</v>
      </c>
      <c r="E25" s="43">
        <v>2.4755332311155565E-2</v>
      </c>
      <c r="F25" s="43">
        <v>7.6940450373557123E-2</v>
      </c>
      <c r="G25" s="47">
        <v>-2.9723338603853566E-2</v>
      </c>
      <c r="H25" s="43">
        <v>0.13532822467379613</v>
      </c>
      <c r="I25" s="43">
        <v>0.11915505800738835</v>
      </c>
      <c r="J25" s="43">
        <v>3.37992506735314E-2</v>
      </c>
      <c r="K25" s="43">
        <v>9.3655319297891726E-3</v>
      </c>
      <c r="L25" s="47">
        <v>-1.5822675375290807E-2</v>
      </c>
      <c r="M25" s="49">
        <v>-4.6988787498886908E-2</v>
      </c>
      <c r="N25" s="47">
        <v>-8.5591236297802409E-2</v>
      </c>
      <c r="O25" s="47">
        <v>-9.1904599265775433E-2</v>
      </c>
      <c r="P25" s="47">
        <v>-7.1237559258694239E-2</v>
      </c>
      <c r="Q25" s="43">
        <v>4.6330012609435922E-2</v>
      </c>
      <c r="R25" s="47">
        <v>-0.18449463417373746</v>
      </c>
      <c r="S25" s="47">
        <v>-0.14398952718178004</v>
      </c>
      <c r="T25" s="47">
        <v>-0.16830831654823653</v>
      </c>
      <c r="U25" s="41" t="s">
        <v>24</v>
      </c>
      <c r="V25" s="50">
        <v>-0.10248710307957354</v>
      </c>
    </row>
    <row r="26" spans="1:22" ht="10.5" customHeight="1" x14ac:dyDescent="0.2">
      <c r="A26" s="34" t="s">
        <v>40</v>
      </c>
      <c r="B26" s="42">
        <v>6.5988592851838224E-2</v>
      </c>
      <c r="C26" s="43">
        <v>0.23091842638626003</v>
      </c>
      <c r="D26" s="43">
        <v>0.16289501035023934</v>
      </c>
      <c r="E26" s="43">
        <v>0.14358525553363832</v>
      </c>
      <c r="F26" s="43">
        <v>0.22236373599128956</v>
      </c>
      <c r="G26" s="43">
        <v>0.18350970989731707</v>
      </c>
      <c r="H26" s="43">
        <v>0.12431487885318115</v>
      </c>
      <c r="I26" s="43">
        <v>0.11029489406338211</v>
      </c>
      <c r="J26" s="43">
        <v>4.3314349399189211E-2</v>
      </c>
      <c r="K26" s="43">
        <v>0.10113722064770414</v>
      </c>
      <c r="L26" s="43">
        <v>5.525782013224001E-2</v>
      </c>
      <c r="M26" s="49">
        <v>-4.0950517895923189E-2</v>
      </c>
      <c r="N26" s="43">
        <v>4.3311754582342488E-4</v>
      </c>
      <c r="O26" s="47">
        <v>-8.16008290119975E-2</v>
      </c>
      <c r="P26" s="47">
        <v>-4.9342016354073093E-2</v>
      </c>
      <c r="Q26" s="47">
        <v>-1.8147956037453339E-2</v>
      </c>
      <c r="R26" s="47">
        <v>-0.10927570160971278</v>
      </c>
      <c r="S26" s="47">
        <v>-8.8349437313446022E-2</v>
      </c>
      <c r="T26" s="47">
        <v>-4.1126417433881568E-2</v>
      </c>
      <c r="U26" s="41" t="s">
        <v>24</v>
      </c>
      <c r="V26" s="50">
        <v>-5.5638047333376184E-2</v>
      </c>
    </row>
    <row r="27" spans="1:22" ht="10.5" customHeight="1" x14ac:dyDescent="0.2">
      <c r="A27" s="39" t="s">
        <v>50</v>
      </c>
      <c r="B27" s="53">
        <v>-3.405329483199937E-3</v>
      </c>
      <c r="C27" s="51">
        <v>-3.4388119077526369E-3</v>
      </c>
      <c r="D27" s="51">
        <v>-7.2814113887575971E-2</v>
      </c>
      <c r="E27" s="45">
        <v>3.8310991736485223E-2</v>
      </c>
      <c r="F27" s="45">
        <v>9.9408592081766001E-2</v>
      </c>
      <c r="G27" s="45">
        <v>4.4904295326216204E-2</v>
      </c>
      <c r="H27" s="45">
        <v>8.937248209985893E-2</v>
      </c>
      <c r="I27" s="45">
        <v>6.9773082280365495E-2</v>
      </c>
      <c r="J27" s="45">
        <v>5.7263473898180761E-2</v>
      </c>
      <c r="K27" s="45">
        <v>5.6926643951565659E-2</v>
      </c>
      <c r="L27" s="45">
        <v>5.687071389097742E-3</v>
      </c>
      <c r="M27" s="46">
        <v>6.59880810805753E-2</v>
      </c>
      <c r="N27" s="45">
        <v>7.1481035293441408E-2</v>
      </c>
      <c r="O27" s="51">
        <v>-8.3853680351382298E-3</v>
      </c>
      <c r="P27" s="51">
        <v>-3.5312722047675882E-2</v>
      </c>
      <c r="Q27" s="51">
        <v>-1.7056235648231333E-2</v>
      </c>
      <c r="R27" s="51">
        <v>-8.6388330425855919E-2</v>
      </c>
      <c r="S27" s="51">
        <v>-3.036612506024261E-2</v>
      </c>
      <c r="T27" s="51">
        <v>-6.3148202104118201E-2</v>
      </c>
      <c r="U27" s="51">
        <v>-0.11186859797195559</v>
      </c>
      <c r="V27" s="52">
        <v>-3.0028617432100724E-2</v>
      </c>
    </row>
    <row r="29" spans="1:22" ht="10.5" customHeight="1" x14ac:dyDescent="0.2">
      <c r="A29" s="3" t="s">
        <v>66</v>
      </c>
    </row>
  </sheetData>
  <mergeCells count="2">
    <mergeCell ref="A1:V1"/>
    <mergeCell ref="X1:A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50B9-F593-48C0-BDA0-CD9030C740A5}">
  <dimension ref="A1:W2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23" sqref="V23"/>
    </sheetView>
  </sheetViews>
  <sheetFormatPr baseColWidth="10" defaultRowHeight="11.25" x14ac:dyDescent="0.2"/>
  <cols>
    <col min="1" max="1" width="11" style="1" bestFit="1" customWidth="1"/>
    <col min="2" max="3" width="6" style="2" bestFit="1" customWidth="1"/>
    <col min="4" max="4" width="6.28515625" style="2" bestFit="1" customWidth="1"/>
    <col min="5" max="5" width="6" style="2" bestFit="1" customWidth="1"/>
    <col min="6" max="6" width="6.42578125" style="2" bestFit="1" customWidth="1"/>
    <col min="7" max="7" width="5.7109375" style="2" bestFit="1" customWidth="1"/>
    <col min="8" max="8" width="5.42578125" style="2" bestFit="1" customWidth="1"/>
    <col min="9" max="9" width="6.140625" style="2" bestFit="1" customWidth="1"/>
    <col min="10" max="10" width="6.5703125" style="2" bestFit="1" customWidth="1"/>
    <col min="11" max="11" width="6" style="2" bestFit="1" customWidth="1"/>
    <col min="12" max="12" width="6.140625" style="2" bestFit="1" customWidth="1"/>
    <col min="13" max="15" width="6" style="2" bestFit="1" customWidth="1"/>
    <col min="16" max="16" width="6.28515625" style="2" bestFit="1" customWidth="1"/>
    <col min="17" max="17" width="6" style="2" bestFit="1" customWidth="1"/>
    <col min="18" max="18" width="6.42578125" style="2" bestFit="1" customWidth="1"/>
    <col min="19" max="20" width="6" style="2" bestFit="1" customWidth="1"/>
    <col min="21" max="21" width="6.140625" style="2" bestFit="1" customWidth="1"/>
    <col min="22" max="22" width="14.42578125" style="2" bestFit="1" customWidth="1"/>
    <col min="23" max="23" width="11.42578125" style="2"/>
    <col min="24" max="16384" width="11.42578125" style="1"/>
  </cols>
  <sheetData>
    <row r="1" spans="1:22" x14ac:dyDescent="0.2">
      <c r="A1" s="63" t="s">
        <v>63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</row>
    <row r="2" spans="1:22" x14ac:dyDescent="0.2">
      <c r="A2" s="27" t="s">
        <v>37</v>
      </c>
      <c r="B2" s="28">
        <v>45658</v>
      </c>
      <c r="C2" s="29">
        <v>45689</v>
      </c>
      <c r="D2" s="29">
        <v>45717</v>
      </c>
      <c r="E2" s="29">
        <v>45748</v>
      </c>
      <c r="F2" s="29">
        <v>45778</v>
      </c>
      <c r="G2" s="29">
        <v>45809</v>
      </c>
      <c r="H2" s="29">
        <v>45839</v>
      </c>
      <c r="I2" s="29">
        <v>45870</v>
      </c>
      <c r="J2" s="29">
        <v>45901</v>
      </c>
      <c r="K2" s="29">
        <v>45931</v>
      </c>
      <c r="L2" s="29">
        <v>45962</v>
      </c>
      <c r="M2" s="30">
        <v>45992</v>
      </c>
      <c r="N2" s="31">
        <v>46023</v>
      </c>
      <c r="O2" s="31">
        <v>46054</v>
      </c>
      <c r="P2" s="31">
        <v>46082</v>
      </c>
      <c r="Q2" s="31">
        <v>46113</v>
      </c>
      <c r="R2" s="31">
        <v>46143</v>
      </c>
      <c r="S2" s="31">
        <v>46174</v>
      </c>
      <c r="T2" s="31">
        <v>46204</v>
      </c>
      <c r="U2" s="31">
        <v>46235</v>
      </c>
      <c r="V2" s="55" t="s">
        <v>61</v>
      </c>
    </row>
    <row r="3" spans="1:22" x14ac:dyDescent="0.2">
      <c r="A3" s="34" t="s">
        <v>48</v>
      </c>
      <c r="B3" s="42">
        <v>1.3398949664973347E-2</v>
      </c>
      <c r="C3" s="47">
        <v>-5.5695013741719701E-2</v>
      </c>
      <c r="D3" s="47">
        <v>-0.27391801521607728</v>
      </c>
      <c r="E3" s="47">
        <v>-1.0142614113109016E-2</v>
      </c>
      <c r="F3" s="43">
        <v>0.13250410960040027</v>
      </c>
      <c r="G3" s="43">
        <v>7.498195157440235E-2</v>
      </c>
      <c r="H3" s="43">
        <v>6.3144301526408153E-2</v>
      </c>
      <c r="I3" s="43">
        <v>6.6598727769912491E-2</v>
      </c>
      <c r="J3" s="43">
        <v>6.0577930107825972E-2</v>
      </c>
      <c r="K3" s="43">
        <v>3.1818373361106822E-2</v>
      </c>
      <c r="L3" s="47">
        <v>-4.3463668499560071E-2</v>
      </c>
      <c r="M3" s="44">
        <v>3.6047111722074865E-2</v>
      </c>
      <c r="N3" s="43">
        <v>2.4076582610459862E-2</v>
      </c>
      <c r="O3" s="47">
        <v>-5.7292445817958337E-2</v>
      </c>
      <c r="P3" s="47">
        <v>-2.5519545858800119E-2</v>
      </c>
      <c r="Q3" s="47">
        <v>-1.1446309347606598E-2</v>
      </c>
      <c r="R3" s="47">
        <v>-8.7478315664776707E-2</v>
      </c>
      <c r="S3" s="43">
        <v>5.7182770719454989E-3</v>
      </c>
      <c r="T3" s="47">
        <v>-1.3735977201755345E-2</v>
      </c>
      <c r="U3" s="41" t="s">
        <v>24</v>
      </c>
      <c r="V3" s="50">
        <v>-2.3448650641912594E-2</v>
      </c>
    </row>
    <row r="4" spans="1:22" x14ac:dyDescent="0.2">
      <c r="A4" s="34" t="s">
        <v>2</v>
      </c>
      <c r="B4" s="48">
        <v>-0.19035190811141678</v>
      </c>
      <c r="C4" s="47">
        <v>-0.12230908343750679</v>
      </c>
      <c r="D4" s="47">
        <v>-0.15399789979737055</v>
      </c>
      <c r="E4" s="47">
        <v>-0.13982111559059318</v>
      </c>
      <c r="F4" s="47">
        <v>-7.8608809775393973E-2</v>
      </c>
      <c r="G4" s="47">
        <v>-0.11285439530601959</v>
      </c>
      <c r="H4" s="47">
        <v>-3.057545090913194E-2</v>
      </c>
      <c r="I4" s="43">
        <v>6.7877861817793317E-3</v>
      </c>
      <c r="J4" s="43">
        <v>2.5189100145661669E-2</v>
      </c>
      <c r="K4" s="43">
        <v>0.11902629781993479</v>
      </c>
      <c r="L4" s="43">
        <v>6.8399889147672699E-2</v>
      </c>
      <c r="M4" s="49">
        <v>-4.361110291745085E-2</v>
      </c>
      <c r="N4" s="47">
        <v>-3.5345488020533944E-2</v>
      </c>
      <c r="O4" s="47">
        <v>-7.9021567728396969E-2</v>
      </c>
      <c r="P4" s="47">
        <v>-0.10204164152564532</v>
      </c>
      <c r="Q4" s="47">
        <v>-5.9269651939471868E-2</v>
      </c>
      <c r="R4" s="47">
        <v>-0.10656838504843624</v>
      </c>
      <c r="S4" s="47">
        <v>-9.3044722888577458E-2</v>
      </c>
      <c r="T4" s="47">
        <v>-5.5832210206618327E-2</v>
      </c>
      <c r="U4" s="47">
        <v>-0.1230024146039832</v>
      </c>
      <c r="V4" s="50">
        <v>-8.1737187448430837E-2</v>
      </c>
    </row>
    <row r="5" spans="1:22" x14ac:dyDescent="0.2">
      <c r="A5" s="34" t="s">
        <v>23</v>
      </c>
      <c r="B5" s="42">
        <v>0.13696146049800739</v>
      </c>
      <c r="C5" s="47">
        <v>-5.5965727673779053E-2</v>
      </c>
      <c r="D5" s="47">
        <v>-3.4838377318589075E-2</v>
      </c>
      <c r="E5" s="47">
        <v>-4.4145576088890581E-2</v>
      </c>
      <c r="F5" s="47">
        <v>-6.0966236314491828E-2</v>
      </c>
      <c r="G5" s="47">
        <v>-5.49804842197259E-2</v>
      </c>
      <c r="H5" s="43">
        <v>2.5368626706524955E-2</v>
      </c>
      <c r="I5" s="47">
        <v>-4.1790670204891356E-2</v>
      </c>
      <c r="J5" s="47">
        <v>-1.3493562092301126E-2</v>
      </c>
      <c r="K5" s="43">
        <v>1.0990229400796636E-2</v>
      </c>
      <c r="L5" s="47">
        <v>-0.15341487330984716</v>
      </c>
      <c r="M5" s="49">
        <v>-0.12846396838722673</v>
      </c>
      <c r="N5" s="47">
        <v>-2.8053051228039028E-2</v>
      </c>
      <c r="O5" s="47">
        <v>-4.7226859214222872E-2</v>
      </c>
      <c r="P5" s="47">
        <v>-4.3559037509371956E-3</v>
      </c>
      <c r="Q5" s="43">
        <v>7.7611627879518252E-2</v>
      </c>
      <c r="R5" s="47">
        <v>-5.9780341211660426E-2</v>
      </c>
      <c r="S5" s="47">
        <v>-2.0056238822229955E-2</v>
      </c>
      <c r="T5" s="47">
        <v>2.9039206661227945E-2</v>
      </c>
      <c r="U5" s="47">
        <v>-3.8145746248455126E-2</v>
      </c>
      <c r="V5" s="50">
        <v>-1.2741984706860277E-2</v>
      </c>
    </row>
    <row r="6" spans="1:22" x14ac:dyDescent="0.2">
      <c r="A6" s="34" t="s">
        <v>5</v>
      </c>
      <c r="B6" s="42">
        <v>6.9170700855408995E-2</v>
      </c>
      <c r="C6" s="43">
        <v>7.140271032004053E-2</v>
      </c>
      <c r="D6" s="43">
        <v>5.0244958993890254E-3</v>
      </c>
      <c r="E6" s="43">
        <v>9.0587606271506971E-2</v>
      </c>
      <c r="F6" s="43">
        <v>0.14425508321610803</v>
      </c>
      <c r="G6" s="43">
        <v>4.6566807573863223E-2</v>
      </c>
      <c r="H6" s="47">
        <v>-4.7963020168214965E-2</v>
      </c>
      <c r="I6" s="47">
        <v>-3.4598242344039631E-2</v>
      </c>
      <c r="J6" s="47">
        <v>-8.1702377228221934E-2</v>
      </c>
      <c r="K6" s="47">
        <v>-4.0992802137935547E-2</v>
      </c>
      <c r="L6" s="47">
        <v>-0.12696116636296917</v>
      </c>
      <c r="M6" s="49">
        <v>-6.8249102539718609E-2</v>
      </c>
      <c r="N6" s="47">
        <v>-7.788750361320762E-3</v>
      </c>
      <c r="O6" s="47">
        <v>-3.8206257868696358E-2</v>
      </c>
      <c r="P6" s="47">
        <v>-7.3006861369960929E-2</v>
      </c>
      <c r="Q6" s="47">
        <v>-7.5934646154596663E-2</v>
      </c>
      <c r="R6" s="47">
        <v>-0.1376298880803577</v>
      </c>
      <c r="S6" s="47">
        <v>-8.1908265627717913E-2</v>
      </c>
      <c r="T6" s="43">
        <v>1.3628408981110063E-3</v>
      </c>
      <c r="U6" s="47">
        <v>-5.28064652043293E-2</v>
      </c>
      <c r="V6" s="50">
        <v>-5.8007638612944223E-2</v>
      </c>
    </row>
    <row r="7" spans="1:22" x14ac:dyDescent="0.2">
      <c r="A7" s="34" t="s">
        <v>26</v>
      </c>
      <c r="B7" s="42">
        <v>9.3383805166642464E-3</v>
      </c>
      <c r="C7" s="47">
        <v>-0.13168109389036864</v>
      </c>
      <c r="D7" s="47">
        <v>-5.9209663330549445E-2</v>
      </c>
      <c r="E7" s="47">
        <v>-5.9473871159705483E-2</v>
      </c>
      <c r="F7" s="47">
        <v>-4.5810806338092425E-2</v>
      </c>
      <c r="G7" s="47">
        <v>-0.12045294817996488</v>
      </c>
      <c r="H7" s="43">
        <v>9.4789369964303205E-2</v>
      </c>
      <c r="I7" s="43">
        <v>9.998396584235536E-2</v>
      </c>
      <c r="J7" s="43">
        <v>6.7593068463121186E-2</v>
      </c>
      <c r="K7" s="43">
        <v>0.14707788211575967</v>
      </c>
      <c r="L7" s="47">
        <v>-6.6472907243281032E-2</v>
      </c>
      <c r="M7" s="44">
        <v>4.3881040140551608E-2</v>
      </c>
      <c r="N7" s="43">
        <v>2.5556329176377401E-2</v>
      </c>
      <c r="O7" s="47">
        <v>-6.1759757537048099E-2</v>
      </c>
      <c r="P7" s="47">
        <v>-0.11482221871912657</v>
      </c>
      <c r="Q7" s="47">
        <v>-2.7473360242963207E-2</v>
      </c>
      <c r="R7" s="47">
        <v>-3.695996299426052E-2</v>
      </c>
      <c r="S7" s="47">
        <v>-6.3932480390176072E-2</v>
      </c>
      <c r="T7" s="43">
        <v>1.2662500995286319E-2</v>
      </c>
      <c r="U7" s="47">
        <v>-8.95505237532912E-2</v>
      </c>
      <c r="V7" s="50">
        <v>-4.3677561098993789E-2</v>
      </c>
    </row>
    <row r="8" spans="1:22" x14ac:dyDescent="0.2">
      <c r="A8" s="34" t="s">
        <v>6</v>
      </c>
      <c r="B8" s="48">
        <v>-3.8309112010067703E-2</v>
      </c>
      <c r="C8" s="47">
        <v>-4.6193475932955197E-2</v>
      </c>
      <c r="D8" s="47">
        <v>-0.11215799375847113</v>
      </c>
      <c r="E8" s="47">
        <v>-3.7327722445002043E-2</v>
      </c>
      <c r="F8" s="43">
        <v>3.1896506596771568E-2</v>
      </c>
      <c r="G8" s="43">
        <v>4.5561289638627933E-2</v>
      </c>
      <c r="H8" s="43">
        <v>0.17700391185092346</v>
      </c>
      <c r="I8" s="43">
        <v>0.11860105896281414</v>
      </c>
      <c r="J8" s="43">
        <v>2.9623845040294805E-2</v>
      </c>
      <c r="K8" s="43">
        <v>6.2581062052386782E-2</v>
      </c>
      <c r="L8" s="43">
        <v>2.6639761899146519E-2</v>
      </c>
      <c r="M8" s="44">
        <v>0.17905082106831016</v>
      </c>
      <c r="N8" s="43">
        <v>0.1000974932320251</v>
      </c>
      <c r="O8" s="47">
        <v>-4.1103625180784698E-2</v>
      </c>
      <c r="P8" s="43">
        <v>3.8024037076296091E-2</v>
      </c>
      <c r="Q8" s="43">
        <v>2.1703893011539632E-2</v>
      </c>
      <c r="R8" s="47">
        <v>-4.4595990623915949E-2</v>
      </c>
      <c r="S8" s="47">
        <v>-8.6148138987316658E-2</v>
      </c>
      <c r="T8" s="47">
        <v>-0.13588564317588225</v>
      </c>
      <c r="U8" s="47">
        <v>-0.15270489979907831</v>
      </c>
      <c r="V8" s="50">
        <v>-4.2215433738243435E-2</v>
      </c>
    </row>
    <row r="9" spans="1:22" x14ac:dyDescent="0.2">
      <c r="A9" s="34" t="s">
        <v>52</v>
      </c>
      <c r="B9" s="42">
        <v>5.2722688965385789E-2</v>
      </c>
      <c r="C9" s="43">
        <v>7.2867302862171579E-2</v>
      </c>
      <c r="D9" s="43">
        <v>9.7528462395455318E-2</v>
      </c>
      <c r="E9" s="43">
        <v>6.7278076748551907E-2</v>
      </c>
      <c r="F9" s="43">
        <v>7.8626601568017929E-2</v>
      </c>
      <c r="G9" s="43">
        <v>7.3100397294198594E-2</v>
      </c>
      <c r="H9" s="43">
        <v>5.2501616780458837E-2</v>
      </c>
      <c r="I9" s="43">
        <v>1.0777116740007253E-2</v>
      </c>
      <c r="J9" s="43">
        <v>1.7687911255594102E-2</v>
      </c>
      <c r="K9" s="43">
        <v>2.5821324975211724E-2</v>
      </c>
      <c r="L9" s="47">
        <v>-5.2489851061108594E-2</v>
      </c>
      <c r="M9" s="49">
        <v>-4.3857171837405673E-2</v>
      </c>
      <c r="N9" s="47">
        <v>-3.7013124231733974E-2</v>
      </c>
      <c r="O9" s="47">
        <v>-6.9657945439966173E-2</v>
      </c>
      <c r="P9" s="47">
        <v>-7.6190232628218557E-2</v>
      </c>
      <c r="Q9" s="47">
        <v>-4.7338253695146104E-3</v>
      </c>
      <c r="R9" s="47">
        <v>-8.6223782864279008E-2</v>
      </c>
      <c r="S9" s="47">
        <v>-4.0481211167400333E-2</v>
      </c>
      <c r="T9" s="47">
        <v>-3.6189570354329792E-2</v>
      </c>
      <c r="U9" s="41" t="s">
        <v>24</v>
      </c>
      <c r="V9" s="50">
        <v>-5.0315064470131565E-2</v>
      </c>
    </row>
    <row r="10" spans="1:22" x14ac:dyDescent="0.2">
      <c r="A10" s="34" t="s">
        <v>7</v>
      </c>
      <c r="B10" s="48">
        <v>-4.9294036232431671E-2</v>
      </c>
      <c r="C10" s="47">
        <v>-2.6248932987349205E-2</v>
      </c>
      <c r="D10" s="47">
        <v>-0.10352405014495358</v>
      </c>
      <c r="E10" s="47">
        <v>-5.1274423690638171E-2</v>
      </c>
      <c r="F10" s="43">
        <v>4.9034041389032668E-2</v>
      </c>
      <c r="G10" s="43">
        <v>2.4668852623222381E-2</v>
      </c>
      <c r="H10" s="47">
        <v>-9.876117421681041E-5</v>
      </c>
      <c r="I10" s="47">
        <v>-5.7861190639468818E-3</v>
      </c>
      <c r="J10" s="43">
        <v>3.1546802462748547E-2</v>
      </c>
      <c r="K10" s="43">
        <v>0.14392015928219348</v>
      </c>
      <c r="L10" s="43">
        <v>3.2761551191504479E-2</v>
      </c>
      <c r="M10" s="44">
        <v>8.8254678037371637E-2</v>
      </c>
      <c r="N10" s="43">
        <v>5.8576332007811649E-2</v>
      </c>
      <c r="O10" s="47">
        <v>-1.1496735598429453E-2</v>
      </c>
      <c r="P10" s="43">
        <v>3.8269406822550422E-2</v>
      </c>
      <c r="Q10" s="43">
        <v>5.1680885054287806E-2</v>
      </c>
      <c r="R10" s="47">
        <v>-7.3019853648380928E-2</v>
      </c>
      <c r="S10" s="47">
        <v>-3.932370315181799E-2</v>
      </c>
      <c r="T10" s="47">
        <v>-5.8798751793967874E-2</v>
      </c>
      <c r="U10" s="47">
        <v>-6.9838711773364426E-2</v>
      </c>
      <c r="V10" s="50">
        <v>-1.4799089809680366E-2</v>
      </c>
    </row>
    <row r="11" spans="1:22" x14ac:dyDescent="0.2">
      <c r="A11" s="34" t="s">
        <v>8</v>
      </c>
      <c r="B11" s="42">
        <v>3.7095459106237572E-2</v>
      </c>
      <c r="C11" s="43">
        <v>0.33174666225121285</v>
      </c>
      <c r="D11" s="43">
        <v>0.11176468437307574</v>
      </c>
      <c r="E11" s="43">
        <v>0.25084363758529937</v>
      </c>
      <c r="F11" s="43">
        <v>0.16748743705923053</v>
      </c>
      <c r="G11" s="43">
        <v>3.2585422825315513E-2</v>
      </c>
      <c r="H11" s="43">
        <v>0.13591068982042787</v>
      </c>
      <c r="I11" s="43">
        <v>1.990406400941569E-2</v>
      </c>
      <c r="J11" s="43">
        <v>5.4626846018451136E-2</v>
      </c>
      <c r="K11" s="43">
        <v>0.12678387704375149</v>
      </c>
      <c r="L11" s="47">
        <v>-4.1101926388873999E-2</v>
      </c>
      <c r="M11" s="49">
        <v>-3.0472556915984494E-2</v>
      </c>
      <c r="N11" s="43">
        <v>1.9258230307841018E-2</v>
      </c>
      <c r="O11" s="47">
        <v>-0.10449681064076966</v>
      </c>
      <c r="P11" s="47">
        <v>-0.1054515716510559</v>
      </c>
      <c r="Q11" s="47">
        <v>-6.9855036017631211E-2</v>
      </c>
      <c r="R11" s="43">
        <v>7.0611386788325792E-2</v>
      </c>
      <c r="S11" s="43">
        <v>3.6147964905016927E-2</v>
      </c>
      <c r="T11" s="43">
        <v>3.2279518924497319E-2</v>
      </c>
      <c r="U11" s="47">
        <v>-5.5916812171267205E-3</v>
      </c>
      <c r="V11" s="50">
        <v>-1.5662743765663345E-2</v>
      </c>
    </row>
    <row r="12" spans="1:22" x14ac:dyDescent="0.2">
      <c r="A12" s="34" t="s">
        <v>9</v>
      </c>
      <c r="B12" s="48">
        <v>-3.0237534607105765E-2</v>
      </c>
      <c r="C12" s="43">
        <v>2.6449199614400065E-2</v>
      </c>
      <c r="D12" s="43">
        <v>2.897307018936246E-2</v>
      </c>
      <c r="E12" s="43">
        <v>5.652689610848638E-3</v>
      </c>
      <c r="F12" s="43">
        <v>0.11869160877085982</v>
      </c>
      <c r="G12" s="43">
        <v>7.2573396489002295E-2</v>
      </c>
      <c r="H12" s="43">
        <v>0.12866440153521697</v>
      </c>
      <c r="I12" s="43">
        <v>9.1979560830126816E-2</v>
      </c>
      <c r="J12" s="43">
        <v>4.1108088640359197E-2</v>
      </c>
      <c r="K12" s="43">
        <v>0.11393977073685502</v>
      </c>
      <c r="L12" s="47">
        <v>-3.8192490353054498E-2</v>
      </c>
      <c r="M12" s="44">
        <v>5.1024501448877713E-2</v>
      </c>
      <c r="N12" s="43">
        <v>2.7642416335084574E-2</v>
      </c>
      <c r="O12" s="47">
        <v>-7.1902082073877271E-2</v>
      </c>
      <c r="P12" s="47">
        <v>-3.7359206944937995E-3</v>
      </c>
      <c r="Q12" s="43">
        <v>1.3231661933242878E-2</v>
      </c>
      <c r="R12" s="47">
        <v>-2.6096030296739681E-2</v>
      </c>
      <c r="S12" s="47">
        <v>-6.4226658895958355E-3</v>
      </c>
      <c r="T12" s="47">
        <v>-2.5978422541467983E-2</v>
      </c>
      <c r="U12" s="47">
        <v>-7.0351972997048429E-2</v>
      </c>
      <c r="V12" s="50">
        <v>-2.1337209787470446E-2</v>
      </c>
    </row>
    <row r="13" spans="1:22" x14ac:dyDescent="0.2">
      <c r="A13" s="34" t="s">
        <v>27</v>
      </c>
      <c r="B13" s="48">
        <v>-6.9387653387576242E-2</v>
      </c>
      <c r="C13" s="47">
        <v>-9.301380296387296E-2</v>
      </c>
      <c r="D13" s="47">
        <v>-5.6333212847585079E-2</v>
      </c>
      <c r="E13" s="47">
        <v>-0.10593876530891155</v>
      </c>
      <c r="F13" s="43">
        <v>2.0270184308923689E-2</v>
      </c>
      <c r="G13" s="43">
        <v>8.9038556137213121E-2</v>
      </c>
      <c r="H13" s="43">
        <v>7.2750751468440011E-3</v>
      </c>
      <c r="I13" s="43">
        <v>9.9439834298579388E-2</v>
      </c>
      <c r="J13" s="43">
        <v>9.2712556520732514E-2</v>
      </c>
      <c r="K13" s="43">
        <v>4.3135924538346027E-2</v>
      </c>
      <c r="L13" s="47">
        <v>-3.2512090995560516E-2</v>
      </c>
      <c r="M13" s="44">
        <v>0.15692227455849772</v>
      </c>
      <c r="N13" s="43">
        <v>2.8914455360179003E-2</v>
      </c>
      <c r="O13" s="47">
        <v>-0.20685798073213102</v>
      </c>
      <c r="P13" s="43">
        <v>0.1262155097171358</v>
      </c>
      <c r="Q13" s="47">
        <v>-7.8326928030753029E-3</v>
      </c>
      <c r="R13" s="47">
        <v>-2.1622878048513372E-2</v>
      </c>
      <c r="S13" s="43">
        <v>7.4852494571662875E-2</v>
      </c>
      <c r="T13" s="43">
        <v>2.613930511674778E-2</v>
      </c>
      <c r="U13" s="41" t="s">
        <v>24</v>
      </c>
      <c r="V13" s="54">
        <v>3.6932014385548939E-3</v>
      </c>
    </row>
    <row r="14" spans="1:22" x14ac:dyDescent="0.2">
      <c r="A14" s="34" t="s">
        <v>10</v>
      </c>
      <c r="B14" s="42">
        <v>0.36851725358117093</v>
      </c>
      <c r="C14" s="43">
        <v>4.1194728325706809E-2</v>
      </c>
      <c r="D14" s="43">
        <v>0.19837972890687428</v>
      </c>
      <c r="E14" s="43">
        <v>0.11198836753040498</v>
      </c>
      <c r="F14" s="43">
        <v>0.11089027027391829</v>
      </c>
      <c r="G14" s="43">
        <v>0.15137249920492146</v>
      </c>
      <c r="H14" s="43">
        <v>8.9003794976199035E-2</v>
      </c>
      <c r="I14" s="43">
        <v>9.6247217212548142E-2</v>
      </c>
      <c r="J14" s="43">
        <v>0.14633575345317795</v>
      </c>
      <c r="K14" s="47">
        <v>-4.7058026855980151E-2</v>
      </c>
      <c r="L14" s="47">
        <v>-0.18338907560769313</v>
      </c>
      <c r="M14" s="49">
        <v>-6.7031002816767882E-2</v>
      </c>
      <c r="N14" s="47">
        <v>-0.2045883657675619</v>
      </c>
      <c r="O14" s="47">
        <v>-8.8435955297489599E-2</v>
      </c>
      <c r="P14" s="47">
        <v>-0.16098848059828696</v>
      </c>
      <c r="Q14" s="47">
        <v>-5.8957745125182148E-2</v>
      </c>
      <c r="R14" s="47">
        <v>-9.5375250123180932E-2</v>
      </c>
      <c r="S14" s="47">
        <v>-0.11259185928756399</v>
      </c>
      <c r="T14" s="47">
        <v>-0.13289680867518416</v>
      </c>
      <c r="U14" s="47">
        <v>-0.24652111519874409</v>
      </c>
      <c r="V14" s="50">
        <v>-0.14130443582616092</v>
      </c>
    </row>
    <row r="15" spans="1:22" x14ac:dyDescent="0.2">
      <c r="A15" s="34" t="s">
        <v>11</v>
      </c>
      <c r="B15" s="48">
        <v>-4.8564582207771045E-2</v>
      </c>
      <c r="C15" s="47">
        <v>-8.8883960895559277E-2</v>
      </c>
      <c r="D15" s="47">
        <v>-0.12827224467957876</v>
      </c>
      <c r="E15" s="47">
        <v>-8.8753722062211327E-2</v>
      </c>
      <c r="F15" s="47">
        <v>-3.0386433241125999E-2</v>
      </c>
      <c r="G15" s="47">
        <v>-1.6029405950027109E-2</v>
      </c>
      <c r="H15" s="43">
        <v>2.7492454918670584E-2</v>
      </c>
      <c r="I15" s="43">
        <v>4.5384469407695693E-2</v>
      </c>
      <c r="J15" s="43">
        <v>1.2788752710559015E-2</v>
      </c>
      <c r="K15" s="47">
        <v>-9.2913929337021806E-3</v>
      </c>
      <c r="L15" s="43">
        <v>2.1396527064389881E-2</v>
      </c>
      <c r="M15" s="49">
        <v>-1.6533130182214251E-2</v>
      </c>
      <c r="N15" s="43">
        <v>6.3659593056548669E-2</v>
      </c>
      <c r="O15" s="43">
        <v>1.5649797185061542E-2</v>
      </c>
      <c r="P15" s="43">
        <v>5.3077556241731827E-5</v>
      </c>
      <c r="Q15" s="43">
        <v>3.1012892319788987E-2</v>
      </c>
      <c r="R15" s="47">
        <v>-2.0593797588290608E-2</v>
      </c>
      <c r="S15" s="47">
        <v>-4.0324039147877522E-2</v>
      </c>
      <c r="T15" s="47">
        <v>-5.7861937714783429E-2</v>
      </c>
      <c r="U15" s="47">
        <v>-9.549043229080012E-2</v>
      </c>
      <c r="V15" s="50">
        <v>-1.4144629179209112E-2</v>
      </c>
    </row>
    <row r="16" spans="1:22" x14ac:dyDescent="0.2">
      <c r="A16" s="34" t="s">
        <v>12</v>
      </c>
      <c r="B16" s="42">
        <v>8.2116050651122707E-2</v>
      </c>
      <c r="C16" s="43">
        <v>1.8811279272167303E-2</v>
      </c>
      <c r="D16" s="47">
        <v>-0.11395675963222973</v>
      </c>
      <c r="E16" s="47">
        <v>-0.10062845290081146</v>
      </c>
      <c r="F16" s="47">
        <v>-5.4010445542956975E-2</v>
      </c>
      <c r="G16" s="47">
        <v>-4.1324300310810358E-2</v>
      </c>
      <c r="H16" s="47">
        <v>-9.6046194995924483E-2</v>
      </c>
      <c r="I16" s="47">
        <v>-0.15565515081515036</v>
      </c>
      <c r="J16" s="47">
        <v>-0.19726629270100149</v>
      </c>
      <c r="K16" s="47">
        <v>-0.13475665894691868</v>
      </c>
      <c r="L16" s="47">
        <v>-0.14316764799552506</v>
      </c>
      <c r="M16" s="49">
        <v>-0.18645057546821076</v>
      </c>
      <c r="N16" s="47">
        <v>-0.25038557675442441</v>
      </c>
      <c r="O16" s="47">
        <v>-0.23075084098635834</v>
      </c>
      <c r="P16" s="47">
        <v>-0.17535033926383659</v>
      </c>
      <c r="Q16" s="47">
        <v>-0.10955431858590414</v>
      </c>
      <c r="R16" s="47">
        <v>-0.23511826813737124</v>
      </c>
      <c r="S16" s="47">
        <v>-0.23616628946554286</v>
      </c>
      <c r="T16" s="47">
        <v>-0.15701821281671802</v>
      </c>
      <c r="U16" s="47">
        <v>-0.21251693701929975</v>
      </c>
      <c r="V16" s="50">
        <v>-0.20354169210242801</v>
      </c>
    </row>
    <row r="17" spans="1:22" x14ac:dyDescent="0.2">
      <c r="A17" s="34" t="s">
        <v>38</v>
      </c>
      <c r="B17" s="48">
        <v>-6.4393090375942652E-3</v>
      </c>
      <c r="C17" s="47">
        <v>-4.3945447747324118E-2</v>
      </c>
      <c r="D17" s="47">
        <v>-6.3782690044374091E-2</v>
      </c>
      <c r="E17" s="43">
        <v>8.0373679605210135E-3</v>
      </c>
      <c r="F17" s="43">
        <v>1.6905497704122752E-4</v>
      </c>
      <c r="G17" s="43">
        <v>6.6411354496126007E-2</v>
      </c>
      <c r="H17" s="43">
        <v>9.2708219221543375E-2</v>
      </c>
      <c r="I17" s="43">
        <v>0.11576996384142291</v>
      </c>
      <c r="J17" s="43">
        <v>4.6554063484647301E-3</v>
      </c>
      <c r="K17" s="43">
        <v>0.12470626563342879</v>
      </c>
      <c r="L17" s="43">
        <v>2.9997785715427661E-2</v>
      </c>
      <c r="M17" s="44">
        <v>0.14525236542269182</v>
      </c>
      <c r="N17" s="47">
        <v>-7.7238132499845014E-3</v>
      </c>
      <c r="O17" s="43">
        <v>4.1932411532295433E-2</v>
      </c>
      <c r="P17" s="43">
        <v>1.310441282311503E-2</v>
      </c>
      <c r="Q17" s="43">
        <v>0.11815397754801271</v>
      </c>
      <c r="R17" s="43">
        <v>0.16133029682943323</v>
      </c>
      <c r="S17" s="43">
        <v>0.10864943870369359</v>
      </c>
      <c r="T17" s="43">
        <v>7.1897786025315158E-2</v>
      </c>
      <c r="U17" s="41" t="s">
        <v>24</v>
      </c>
      <c r="V17" s="54">
        <v>7.2555593358991199E-2</v>
      </c>
    </row>
    <row r="18" spans="1:22" x14ac:dyDescent="0.2">
      <c r="A18" s="34" t="s">
        <v>14</v>
      </c>
      <c r="B18" s="42">
        <v>0.1000540727222492</v>
      </c>
      <c r="C18" s="43">
        <v>4.3031234063306334E-2</v>
      </c>
      <c r="D18" s="43">
        <v>8.2176708489975825E-2</v>
      </c>
      <c r="E18" s="43">
        <v>0.12450188233250947</v>
      </c>
      <c r="F18" s="43">
        <v>0.29753162946103151</v>
      </c>
      <c r="G18" s="43">
        <v>0.11995534563299892</v>
      </c>
      <c r="H18" s="43">
        <v>0.10146534247190075</v>
      </c>
      <c r="I18" s="43">
        <v>0.20053541500076033</v>
      </c>
      <c r="J18" s="43">
        <v>0.20818074191931513</v>
      </c>
      <c r="K18" s="43">
        <v>0.27265668381997776</v>
      </c>
      <c r="L18" s="43">
        <v>0.14584728818352155</v>
      </c>
      <c r="M18" s="44">
        <v>0.13430267917179539</v>
      </c>
      <c r="N18" s="43">
        <v>5.673262969571824E-2</v>
      </c>
      <c r="O18" s="43">
        <v>6.3529112731298021E-2</v>
      </c>
      <c r="P18" s="43">
        <v>0.12634683159598636</v>
      </c>
      <c r="Q18" s="43">
        <v>0.11283898705925965</v>
      </c>
      <c r="R18" s="47">
        <v>-7.9052999784356315E-2</v>
      </c>
      <c r="S18" s="47">
        <v>-2.8802697357614981E-3</v>
      </c>
      <c r="T18" s="43">
        <v>3.3483326082728748E-2</v>
      </c>
      <c r="U18" s="47">
        <v>-3.667657398213553E-2</v>
      </c>
      <c r="V18" s="54">
        <v>2.9615437656236754E-2</v>
      </c>
    </row>
    <row r="19" spans="1:22" x14ac:dyDescent="0.2">
      <c r="A19" s="34" t="s">
        <v>15</v>
      </c>
      <c r="B19" s="48">
        <v>-6.7427461784650533E-2</v>
      </c>
      <c r="C19" s="47">
        <v>-9.6077291870744541E-2</v>
      </c>
      <c r="D19" s="47">
        <v>-0.15171441412969444</v>
      </c>
      <c r="E19" s="47">
        <v>-0.17810962631617977</v>
      </c>
      <c r="F19" s="47">
        <v>-8.3237572073391664E-2</v>
      </c>
      <c r="G19" s="47">
        <v>-6.4201954341904566E-2</v>
      </c>
      <c r="H19" s="47">
        <v>-7.1889570889981602E-2</v>
      </c>
      <c r="I19" s="47">
        <v>-1.8264878904134196E-2</v>
      </c>
      <c r="J19" s="47">
        <v>-0.14535335622687451</v>
      </c>
      <c r="K19" s="47">
        <v>-4.8405590712857105E-2</v>
      </c>
      <c r="L19" s="47">
        <v>-8.0469054816847851E-2</v>
      </c>
      <c r="M19" s="49">
        <v>-2.394576898882006E-2</v>
      </c>
      <c r="N19" s="47">
        <v>-2.2197504858129324E-2</v>
      </c>
      <c r="O19" s="47">
        <v>-7.0191944279183516E-2</v>
      </c>
      <c r="P19" s="47">
        <v>-0.11470343606005773</v>
      </c>
      <c r="Q19" s="47">
        <v>-4.3567307855658099E-2</v>
      </c>
      <c r="R19" s="47">
        <v>-0.10187929881339597</v>
      </c>
      <c r="S19" s="47">
        <v>-7.3715185632702629E-2</v>
      </c>
      <c r="T19" s="41" t="s">
        <v>24</v>
      </c>
      <c r="U19" s="41" t="s">
        <v>24</v>
      </c>
      <c r="V19" s="50">
        <v>-7.0315824974687913E-2</v>
      </c>
    </row>
    <row r="20" spans="1:22" x14ac:dyDescent="0.2">
      <c r="A20" s="34" t="s">
        <v>16</v>
      </c>
      <c r="B20" s="42">
        <v>1.9264080643219827E-2</v>
      </c>
      <c r="C20" s="43">
        <v>1.6949008159936163E-2</v>
      </c>
      <c r="D20" s="47">
        <v>-3.6634042252614352E-2</v>
      </c>
      <c r="E20" s="43">
        <v>1.2073024623417972E-2</v>
      </c>
      <c r="F20" s="43">
        <v>5.2256214442476523E-2</v>
      </c>
      <c r="G20" s="43">
        <v>0.1438910125889783</v>
      </c>
      <c r="H20" s="43">
        <v>0.105934932842767</v>
      </c>
      <c r="I20" s="43">
        <v>0.13192846922506019</v>
      </c>
      <c r="J20" s="43">
        <v>0.12684940012691714</v>
      </c>
      <c r="K20" s="43">
        <v>0.18359853550405103</v>
      </c>
      <c r="L20" s="43">
        <v>9.2319766638304879E-2</v>
      </c>
      <c r="M20" s="44">
        <v>0.16131422611537372</v>
      </c>
      <c r="N20" s="43">
        <v>8.0511279785847156E-2</v>
      </c>
      <c r="O20" s="43">
        <v>6.6334420863740196E-2</v>
      </c>
      <c r="P20" s="43">
        <v>5.333916814456674E-2</v>
      </c>
      <c r="Q20" s="43">
        <v>9.1781332549643935E-2</v>
      </c>
      <c r="R20" s="47">
        <v>-4.3698474906402884E-3</v>
      </c>
      <c r="S20" s="43">
        <v>4.2038700550354635E-2</v>
      </c>
      <c r="T20" s="47">
        <v>-6.7533507938245529E-3</v>
      </c>
      <c r="U20" s="47">
        <v>-3.4838839520884957E-2</v>
      </c>
      <c r="V20" s="54">
        <v>3.5144912866976075E-2</v>
      </c>
    </row>
    <row r="21" spans="1:22" x14ac:dyDescent="0.2">
      <c r="A21" s="34" t="s">
        <v>17</v>
      </c>
      <c r="B21" s="48">
        <v>-9.6418186672905248E-3</v>
      </c>
      <c r="C21" s="43">
        <v>1.8199499929799856E-2</v>
      </c>
      <c r="D21" s="47">
        <v>-4.5240122693245843E-2</v>
      </c>
      <c r="E21" s="47">
        <v>-2.2448270615204491E-2</v>
      </c>
      <c r="F21" s="43">
        <v>1.9275185741241652E-2</v>
      </c>
      <c r="G21" s="43">
        <v>2.3845246605815884E-2</v>
      </c>
      <c r="H21" s="43">
        <v>9.1177013210993696E-2</v>
      </c>
      <c r="I21" s="43">
        <v>4.6007648769244458E-2</v>
      </c>
      <c r="J21" s="47">
        <v>-6.5711720551783204E-3</v>
      </c>
      <c r="K21" s="43">
        <v>1.4626095036893938E-2</v>
      </c>
      <c r="L21" s="47">
        <v>-5.0775895234880242E-3</v>
      </c>
      <c r="M21" s="49">
        <v>-7.8900487061487334E-3</v>
      </c>
      <c r="N21" s="47">
        <v>-2.8613624082206246E-2</v>
      </c>
      <c r="O21" s="47">
        <v>-3.1069705777142742E-2</v>
      </c>
      <c r="P21" s="47">
        <v>-2.7174584550078484E-2</v>
      </c>
      <c r="Q21" s="43">
        <v>2.7071357557252984E-2</v>
      </c>
      <c r="R21" s="47">
        <v>-5.4041400352946467E-2</v>
      </c>
      <c r="S21" s="47">
        <v>-3.3758759412215733E-2</v>
      </c>
      <c r="T21" s="47">
        <v>-6.3195318801002709E-2</v>
      </c>
      <c r="U21" s="47">
        <v>-5.5647463393784458E-2</v>
      </c>
      <c r="V21" s="50">
        <v>-3.4241455060688542E-2</v>
      </c>
    </row>
    <row r="22" spans="1:22" x14ac:dyDescent="0.2">
      <c r="A22" s="34" t="s">
        <v>18</v>
      </c>
      <c r="B22" s="42">
        <v>3.086659452001661E-2</v>
      </c>
      <c r="C22" s="47">
        <v>-0.12121412794846331</v>
      </c>
      <c r="D22" s="47">
        <v>-0.11176729821815856</v>
      </c>
      <c r="E22" s="47">
        <v>-9.9947553803757527E-2</v>
      </c>
      <c r="F22" s="47">
        <v>-3.4743530636648479E-2</v>
      </c>
      <c r="G22" s="47">
        <v>-8.973937971102719E-2</v>
      </c>
      <c r="H22" s="47">
        <v>-4.9211894656771782E-2</v>
      </c>
      <c r="I22" s="47">
        <v>-5.3970780866782753E-2</v>
      </c>
      <c r="J22" s="47">
        <v>-9.8806399055416883E-2</v>
      </c>
      <c r="K22" s="47">
        <v>-8.7570913387069904E-2</v>
      </c>
      <c r="L22" s="47">
        <v>-0.16580127998375294</v>
      </c>
      <c r="M22" s="49">
        <v>-7.4891633536575131E-2</v>
      </c>
      <c r="N22" s="43">
        <v>0.12038459300687121</v>
      </c>
      <c r="O22" s="47">
        <v>-5.9311001737379687E-2</v>
      </c>
      <c r="P22" s="47">
        <v>-0.11961051040822313</v>
      </c>
      <c r="Q22" s="47">
        <v>-1.4957873873283178E-2</v>
      </c>
      <c r="R22" s="47">
        <v>-0.10588936937031834</v>
      </c>
      <c r="S22" s="43">
        <v>2.8749924697256457E-2</v>
      </c>
      <c r="T22" s="47">
        <v>-2.6587925254846434E-2</v>
      </c>
      <c r="U22" s="41" t="s">
        <v>24</v>
      </c>
      <c r="V22" s="50">
        <v>-2.2617294056831327E-2</v>
      </c>
    </row>
    <row r="23" spans="1:22" x14ac:dyDescent="0.2">
      <c r="A23" s="34" t="s">
        <v>19</v>
      </c>
      <c r="B23" s="48">
        <v>-3.1560941444364055E-2</v>
      </c>
      <c r="C23" s="47">
        <v>-1.6518122121751522E-2</v>
      </c>
      <c r="D23" s="47">
        <v>-0.14054168256675226</v>
      </c>
      <c r="E23" s="47">
        <v>-3.1272320273943111E-2</v>
      </c>
      <c r="F23" s="43">
        <v>2.1744702115824133E-2</v>
      </c>
      <c r="G23" s="43">
        <v>5.3862868000605912E-2</v>
      </c>
      <c r="H23" s="43">
        <v>0.13165408488219676</v>
      </c>
      <c r="I23" s="43">
        <v>9.4952993947223119E-2</v>
      </c>
      <c r="J23" s="43">
        <v>0.10465227915102959</v>
      </c>
      <c r="K23" s="43">
        <v>0.17028087018912341</v>
      </c>
      <c r="L23" s="47">
        <v>-9.9545515508998594E-3</v>
      </c>
      <c r="M23" s="44">
        <v>0.10107237940748925</v>
      </c>
      <c r="N23" s="43">
        <v>7.0797176527063854E-2</v>
      </c>
      <c r="O23" s="47">
        <v>-3.6926502853450782E-2</v>
      </c>
      <c r="P23" s="43">
        <v>1.2261618342946257E-2</v>
      </c>
      <c r="Q23" s="43">
        <v>3.3886988816788088E-2</v>
      </c>
      <c r="R23" s="47">
        <v>-5.2110251613870284E-2</v>
      </c>
      <c r="S23" s="47">
        <v>-8.9005950626599994E-2</v>
      </c>
      <c r="T23" s="41" t="s">
        <v>24</v>
      </c>
      <c r="U23" s="41" t="s">
        <v>24</v>
      </c>
      <c r="V23" s="50">
        <v>-1.2307749072975049E-2</v>
      </c>
    </row>
    <row r="24" spans="1:22" x14ac:dyDescent="0.2">
      <c r="A24" s="34" t="s">
        <v>57</v>
      </c>
      <c r="B24" s="42">
        <v>5.5512734954163312E-2</v>
      </c>
      <c r="C24" s="43">
        <v>1.7945847716467789E-2</v>
      </c>
      <c r="D24" s="47">
        <v>-4.8205315042712638E-2</v>
      </c>
      <c r="E24" s="43">
        <v>3.3249821432198567E-2</v>
      </c>
      <c r="F24" s="43">
        <v>5.5350559741705885E-2</v>
      </c>
      <c r="G24" s="43">
        <v>6.6269640363962434E-2</v>
      </c>
      <c r="H24" s="43">
        <v>6.3908512373379134E-2</v>
      </c>
      <c r="I24" s="47">
        <v>-2.6478657152239626E-2</v>
      </c>
      <c r="J24" s="47">
        <v>-4.9733613413903033E-2</v>
      </c>
      <c r="K24" s="43">
        <v>3.3754201893928082E-2</v>
      </c>
      <c r="L24" s="43">
        <v>6.0634360773119012E-2</v>
      </c>
      <c r="M24" s="44">
        <v>7.3441744522815267E-3</v>
      </c>
      <c r="N24" s="47">
        <v>-1.2009829453655585E-2</v>
      </c>
      <c r="O24" s="47">
        <v>-4.8822447518770518E-2</v>
      </c>
      <c r="P24" s="43">
        <v>1.1620136449824736E-2</v>
      </c>
      <c r="Q24" s="43">
        <v>1.9281047022997821E-2</v>
      </c>
      <c r="R24" s="47">
        <v>-1.5851280603647377E-2</v>
      </c>
      <c r="S24" s="43">
        <v>3.0634774807429821E-2</v>
      </c>
      <c r="T24" s="43">
        <v>8.1296387147227867E-2</v>
      </c>
      <c r="U24" s="43">
        <v>0.12849679992728191</v>
      </c>
      <c r="V24" s="54">
        <v>2.6497229589000248E-2</v>
      </c>
    </row>
    <row r="25" spans="1:22" x14ac:dyDescent="0.2">
      <c r="A25" s="34" t="s">
        <v>39</v>
      </c>
      <c r="B25" s="42">
        <v>9.1552806314693091E-2</v>
      </c>
      <c r="C25" s="43">
        <v>0.30931772531689372</v>
      </c>
      <c r="D25" s="47">
        <v>-7.5529503928413733E-2</v>
      </c>
      <c r="E25" s="43">
        <v>0.16118049188570782</v>
      </c>
      <c r="F25" s="43">
        <v>9.8158813767093456E-2</v>
      </c>
      <c r="G25" s="47">
        <v>-1.8570202010276149E-2</v>
      </c>
      <c r="H25" s="43">
        <v>5.8897394982823537E-2</v>
      </c>
      <c r="I25" s="43">
        <v>9.5865582626967205E-2</v>
      </c>
      <c r="J25" s="43">
        <v>1.8711687735306404E-2</v>
      </c>
      <c r="K25" s="43">
        <v>7.0351333250679993E-3</v>
      </c>
      <c r="L25" s="47">
        <v>-8.9512006807459077E-2</v>
      </c>
      <c r="M25" s="49">
        <v>-2.3413172330198906E-2</v>
      </c>
      <c r="N25" s="47">
        <v>-3.2054831398838246E-2</v>
      </c>
      <c r="O25" s="43">
        <v>1.5430621934919619E-2</v>
      </c>
      <c r="P25" s="43">
        <v>9.8600541390696517E-3</v>
      </c>
      <c r="Q25" s="43">
        <v>9.3995973463171456E-2</v>
      </c>
      <c r="R25" s="47">
        <v>-0.14825385674042557</v>
      </c>
      <c r="S25" s="47">
        <v>-8.4389281666356064E-2</v>
      </c>
      <c r="T25" s="47">
        <v>-8.7766557709608617E-2</v>
      </c>
      <c r="U25" s="41" t="s">
        <v>24</v>
      </c>
      <c r="V25" s="50">
        <v>-3.5520139830470976E-2</v>
      </c>
    </row>
    <row r="26" spans="1:22" x14ac:dyDescent="0.2">
      <c r="A26" s="56" t="s">
        <v>40</v>
      </c>
      <c r="B26" s="57">
        <v>2.440598261463256E-3</v>
      </c>
      <c r="C26" s="58">
        <v>0.15892403375188513</v>
      </c>
      <c r="D26" s="58">
        <v>8.6847379689240389E-2</v>
      </c>
      <c r="E26" s="58">
        <v>7.8161991661755525E-2</v>
      </c>
      <c r="F26" s="58">
        <v>0.17746278213840561</v>
      </c>
      <c r="G26" s="58">
        <v>0.15005711381246511</v>
      </c>
      <c r="H26" s="58">
        <v>9.5411595431463825E-2</v>
      </c>
      <c r="I26" s="58">
        <v>7.4928556828963044E-2</v>
      </c>
      <c r="J26" s="58">
        <v>1.6389630829556801E-2</v>
      </c>
      <c r="K26" s="58">
        <v>9.1380770318231663E-2</v>
      </c>
      <c r="L26" s="58">
        <v>4.2088980974460011E-2</v>
      </c>
      <c r="M26" s="59">
        <v>-5.8986568021535235E-2</v>
      </c>
      <c r="N26" s="60">
        <v>-1.4568739857749757E-2</v>
      </c>
      <c r="O26" s="60">
        <v>-8.5584619566519304E-2</v>
      </c>
      <c r="P26" s="60">
        <v>-5.3963712391837837E-2</v>
      </c>
      <c r="Q26" s="60">
        <v>-1.3023014958077894E-3</v>
      </c>
      <c r="R26" s="60">
        <v>-0.10532972409542929</v>
      </c>
      <c r="S26" s="60">
        <v>-9.1368978037607129E-2</v>
      </c>
      <c r="T26" s="60">
        <v>-3.2122792926623789E-2</v>
      </c>
      <c r="U26" s="61" t="s">
        <v>24</v>
      </c>
      <c r="V26" s="62">
        <v>-5.5690490888023358E-2</v>
      </c>
    </row>
    <row r="28" spans="1:22" x14ac:dyDescent="0.2">
      <c r="A28" s="3" t="s">
        <v>66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</vt:lpstr>
      <vt:lpstr>II.BB</vt:lpstr>
      <vt:lpstr>INMOBILIARIO</vt:lpstr>
      <vt:lpstr>AUTOMOTOR</vt:lpstr>
      <vt:lpstr>SELLOS</vt:lpstr>
      <vt:lpstr>OTROS</vt:lpstr>
      <vt:lpstr>Resumen 2025-2026</vt:lpstr>
      <vt:lpstr>ING. BRUTOS - %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Pegoraro</cp:lastModifiedBy>
  <dcterms:created xsi:type="dcterms:W3CDTF">2021-07-30T12:53:57Z</dcterms:created>
  <dcterms:modified xsi:type="dcterms:W3CDTF">2026-09-14T11:49:54Z</dcterms:modified>
</cp:coreProperties>
</file>